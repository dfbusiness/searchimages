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Meu Drive\#1DF BUSINESS\LICITACOES E SERVICOS\PROPOSTAS COMERCIAIS - DF\FUNCATE\00000.2026 - Material de limpeza e de copa [GM]\"/>
    </mc:Choice>
  </mc:AlternateContent>
  <xr:revisionPtr revIDLastSave="0" documentId="13_ncr:1_{26B32A8B-8CF0-4F3A-BD69-23045C71A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U/tp75ZSpXX5wVWaWRjVS9ahXkS3XDJxe86K2MWF1P8="/>
    </ext>
  </extLst>
</workbook>
</file>

<file path=xl/calcChain.xml><?xml version="1.0" encoding="utf-8"?>
<calcChain xmlns="http://schemas.openxmlformats.org/spreadsheetml/2006/main">
  <c r="E15" i="1" l="1"/>
  <c r="G15" i="1" s="1"/>
  <c r="E14" i="1"/>
  <c r="E16" i="1"/>
  <c r="E44" i="1"/>
  <c r="G44" i="1" s="1"/>
  <c r="E22" i="1"/>
  <c r="G22" i="1" s="1"/>
  <c r="G7" i="1"/>
  <c r="G8" i="1"/>
  <c r="G9" i="1"/>
  <c r="G10" i="1"/>
  <c r="G11" i="1"/>
  <c r="G12" i="1"/>
  <c r="G13" i="1"/>
  <c r="G14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P57" i="1"/>
  <c r="H57" i="1"/>
  <c r="I55" i="1"/>
  <c r="J55" i="1" s="1"/>
  <c r="I54" i="1"/>
  <c r="I53" i="1"/>
  <c r="I52" i="1"/>
  <c r="I51" i="1"/>
  <c r="I50" i="1"/>
  <c r="I49" i="1"/>
  <c r="J49" i="1" s="1"/>
  <c r="I48" i="1"/>
  <c r="I47" i="1"/>
  <c r="J47" i="1" s="1"/>
  <c r="I46" i="1"/>
  <c r="I45" i="1"/>
  <c r="I44" i="1"/>
  <c r="I43" i="1"/>
  <c r="I42" i="1"/>
  <c r="I41" i="1"/>
  <c r="I40" i="1"/>
  <c r="J40" i="1" s="1"/>
  <c r="I39" i="1"/>
  <c r="J39" i="1" s="1"/>
  <c r="I38" i="1"/>
  <c r="I37" i="1"/>
  <c r="I36" i="1"/>
  <c r="I35" i="1"/>
  <c r="I34" i="1"/>
  <c r="J34" i="1" s="1"/>
  <c r="I33" i="1"/>
  <c r="I32" i="1"/>
  <c r="J32" i="1" s="1"/>
  <c r="I31" i="1"/>
  <c r="J31" i="1" s="1"/>
  <c r="I30" i="1"/>
  <c r="I29" i="1"/>
  <c r="I28" i="1"/>
  <c r="J28" i="1" s="1"/>
  <c r="I27" i="1"/>
  <c r="I26" i="1"/>
  <c r="I25" i="1"/>
  <c r="J25" i="1" s="1"/>
  <c r="I24" i="1"/>
  <c r="J24" i="1" s="1"/>
  <c r="I23" i="1"/>
  <c r="J23" i="1" s="1"/>
  <c r="I22" i="1"/>
  <c r="I21" i="1"/>
  <c r="I20" i="1"/>
  <c r="I19" i="1"/>
  <c r="J19" i="1" s="1"/>
  <c r="I18" i="1"/>
  <c r="I17" i="1"/>
  <c r="I16" i="1"/>
  <c r="I15" i="1"/>
  <c r="I14" i="1"/>
  <c r="I13" i="1"/>
  <c r="J13" i="1" s="1"/>
  <c r="I12" i="1"/>
  <c r="I11" i="1"/>
  <c r="J11" i="1" s="1"/>
  <c r="I10" i="1"/>
  <c r="I9" i="1"/>
  <c r="I8" i="1"/>
  <c r="J8" i="1" s="1"/>
  <c r="I7" i="1"/>
  <c r="J7" i="1" s="1"/>
  <c r="I6" i="1"/>
  <c r="G6" i="1"/>
  <c r="J6" i="1" s="1"/>
  <c r="I5" i="1"/>
  <c r="G5" i="1"/>
  <c r="J16" i="1" l="1"/>
  <c r="K16" i="1" s="1"/>
  <c r="E57" i="1"/>
  <c r="J44" i="1"/>
  <c r="J29" i="1"/>
  <c r="J26" i="1"/>
  <c r="J17" i="1"/>
  <c r="K17" i="1" s="1"/>
  <c r="J41" i="1"/>
  <c r="J53" i="1"/>
  <c r="J10" i="1"/>
  <c r="J35" i="1"/>
  <c r="K35" i="1" s="1"/>
  <c r="J43" i="1"/>
  <c r="K43" i="1" s="1"/>
  <c r="J51" i="1"/>
  <c r="J12" i="1"/>
  <c r="J20" i="1"/>
  <c r="J46" i="1"/>
  <c r="J48" i="1"/>
  <c r="J50" i="1"/>
  <c r="K50" i="1" s="1"/>
  <c r="J52" i="1"/>
  <c r="K52" i="1" s="1"/>
  <c r="J38" i="1"/>
  <c r="K38" i="1" s="1"/>
  <c r="J37" i="1"/>
  <c r="J36" i="1"/>
  <c r="K36" i="1" s="1"/>
  <c r="J27" i="1"/>
  <c r="J22" i="1"/>
  <c r="J45" i="1"/>
  <c r="J33" i="1"/>
  <c r="K33" i="1" s="1"/>
  <c r="J54" i="1"/>
  <c r="K54" i="1" s="1"/>
  <c r="J42" i="1"/>
  <c r="K42" i="1" s="1"/>
  <c r="J30" i="1"/>
  <c r="K30" i="1" s="1"/>
  <c r="J18" i="1"/>
  <c r="K18" i="1" s="1"/>
  <c r="J21" i="1"/>
  <c r="K21" i="1" s="1"/>
  <c r="J15" i="1"/>
  <c r="J14" i="1"/>
  <c r="K14" i="1" s="1"/>
  <c r="J9" i="1"/>
  <c r="K9" i="1" s="1"/>
  <c r="G57" i="1"/>
  <c r="K8" i="1"/>
  <c r="K51" i="1"/>
  <c r="K55" i="1"/>
  <c r="K46" i="1"/>
  <c r="K25" i="1"/>
  <c r="K34" i="1"/>
  <c r="K44" i="1"/>
  <c r="K13" i="1"/>
  <c r="J5" i="1"/>
  <c r="K5" i="1" s="1"/>
  <c r="K26" i="1"/>
  <c r="K47" i="1"/>
  <c r="K53" i="1"/>
  <c r="K48" i="1"/>
  <c r="K45" i="1"/>
  <c r="K40" i="1"/>
  <c r="K49" i="1"/>
  <c r="K41" i="1"/>
  <c r="K32" i="1"/>
  <c r="K37" i="1"/>
  <c r="K31" i="1"/>
  <c r="K39" i="1"/>
  <c r="K27" i="1"/>
  <c r="K28" i="1"/>
  <c r="K29" i="1"/>
  <c r="K22" i="1"/>
  <c r="K23" i="1"/>
  <c r="K24" i="1"/>
  <c r="K20" i="1"/>
  <c r="K19" i="1"/>
  <c r="K11" i="1"/>
  <c r="K12" i="1"/>
  <c r="K10" i="1"/>
  <c r="K7" i="1"/>
  <c r="K6" i="1"/>
  <c r="I57" i="1"/>
  <c r="J57" i="1" l="1"/>
  <c r="K15" i="1"/>
  <c r="K57" i="1" s="1"/>
  <c r="M28" i="1"/>
  <c r="O28" i="1"/>
  <c r="M12" i="1"/>
  <c r="O12" i="1"/>
  <c r="O53" i="1"/>
  <c r="M53" i="1"/>
  <c r="M14" i="1"/>
  <c r="O14" i="1"/>
  <c r="O17" i="1"/>
  <c r="M17" i="1"/>
  <c r="M35" i="1"/>
  <c r="O35" i="1"/>
  <c r="M25" i="1"/>
  <c r="O25" i="1"/>
  <c r="M19" i="1"/>
  <c r="O19" i="1"/>
  <c r="O50" i="1"/>
  <c r="M50" i="1"/>
  <c r="M16" i="1"/>
  <c r="O16" i="1"/>
  <c r="O52" i="1"/>
  <c r="M52" i="1"/>
  <c r="M37" i="1"/>
  <c r="O37" i="1"/>
  <c r="M33" i="1"/>
  <c r="O33" i="1"/>
  <c r="M18" i="1"/>
  <c r="O18" i="1"/>
  <c r="M30" i="1"/>
  <c r="O30" i="1"/>
  <c r="M32" i="1"/>
  <c r="O32" i="1"/>
  <c r="O51" i="1"/>
  <c r="M51" i="1"/>
  <c r="M9" i="1"/>
  <c r="O9" i="1"/>
  <c r="O41" i="1"/>
  <c r="M41" i="1"/>
  <c r="M38" i="1"/>
  <c r="O38" i="1"/>
  <c r="M23" i="1"/>
  <c r="O23" i="1"/>
  <c r="M54" i="1"/>
  <c r="O54" i="1"/>
  <c r="M21" i="1"/>
  <c r="O21" i="1"/>
  <c r="M7" i="1"/>
  <c r="O7" i="1"/>
  <c r="M22" i="1"/>
  <c r="O22" i="1"/>
  <c r="M40" i="1"/>
  <c r="O40" i="1"/>
  <c r="M13" i="1"/>
  <c r="O13" i="1"/>
  <c r="M8" i="1"/>
  <c r="O8" i="1"/>
  <c r="M45" i="1"/>
  <c r="O45" i="1"/>
  <c r="O34" i="1"/>
  <c r="M34" i="1"/>
  <c r="M27" i="1"/>
  <c r="O27" i="1"/>
  <c r="M48" i="1"/>
  <c r="O48" i="1"/>
  <c r="M11" i="1"/>
  <c r="O11" i="1"/>
  <c r="M42" i="1"/>
  <c r="O42" i="1"/>
  <c r="M39" i="1"/>
  <c r="O39" i="1"/>
  <c r="M31" i="1"/>
  <c r="O31" i="1"/>
  <c r="M46" i="1"/>
  <c r="O46" i="1"/>
  <c r="O47" i="1"/>
  <c r="M47" i="1"/>
  <c r="M36" i="1"/>
  <c r="O36" i="1"/>
  <c r="M55" i="1"/>
  <c r="O55" i="1"/>
  <c r="Q55" i="1" s="1"/>
  <c r="R55" i="1" s="1"/>
  <c r="S55" i="1" s="1"/>
  <c r="T55" i="1" s="1"/>
  <c r="M20" i="1"/>
  <c r="O20" i="1"/>
  <c r="O26" i="1"/>
  <c r="M26" i="1"/>
  <c r="O24" i="1"/>
  <c r="M24" i="1"/>
  <c r="M49" i="1"/>
  <c r="O49" i="1"/>
  <c r="M10" i="1"/>
  <c r="O10" i="1"/>
  <c r="O29" i="1"/>
  <c r="M29" i="1"/>
  <c r="Q29" i="1" s="1"/>
  <c r="R29" i="1" s="1"/>
  <c r="S29" i="1" s="1"/>
  <c r="T29" i="1" s="1"/>
  <c r="M43" i="1"/>
  <c r="O43" i="1"/>
  <c r="Q43" i="1" s="1"/>
  <c r="R43" i="1" s="1"/>
  <c r="S43" i="1" s="1"/>
  <c r="T43" i="1" s="1"/>
  <c r="M44" i="1"/>
  <c r="O44" i="1"/>
  <c r="O5" i="1"/>
  <c r="M5" i="1"/>
  <c r="O6" i="1"/>
  <c r="M6" i="1"/>
  <c r="Q50" i="1" l="1"/>
  <c r="R50" i="1" s="1"/>
  <c r="S50" i="1" s="1"/>
  <c r="T50" i="1" s="1"/>
  <c r="Q17" i="1"/>
  <c r="R17" i="1" s="1"/>
  <c r="S17" i="1" s="1"/>
  <c r="T17" i="1" s="1"/>
  <c r="Q47" i="1"/>
  <c r="R47" i="1" s="1"/>
  <c r="S47" i="1" s="1"/>
  <c r="T47" i="1" s="1"/>
  <c r="Q51" i="1"/>
  <c r="R51" i="1" s="1"/>
  <c r="S51" i="1" s="1"/>
  <c r="T51" i="1" s="1"/>
  <c r="Q53" i="1"/>
  <c r="R53" i="1" s="1"/>
  <c r="S53" i="1" s="1"/>
  <c r="T53" i="1" s="1"/>
  <c r="Q52" i="1"/>
  <c r="R52" i="1" s="1"/>
  <c r="S52" i="1" s="1"/>
  <c r="T52" i="1" s="1"/>
  <c r="Q19" i="1"/>
  <c r="R19" i="1" s="1"/>
  <c r="S19" i="1" s="1"/>
  <c r="T19" i="1" s="1"/>
  <c r="Q24" i="1"/>
  <c r="R24" i="1" s="1"/>
  <c r="S24" i="1" s="1"/>
  <c r="T24" i="1" s="1"/>
  <c r="Q41" i="1"/>
  <c r="R41" i="1" s="1"/>
  <c r="S41" i="1" s="1"/>
  <c r="T41" i="1" s="1"/>
  <c r="Q26" i="1"/>
  <c r="R26" i="1" s="1"/>
  <c r="S26" i="1" s="1"/>
  <c r="T26" i="1" s="1"/>
  <c r="Q31" i="1"/>
  <c r="R31" i="1" s="1"/>
  <c r="S31" i="1" s="1"/>
  <c r="T31" i="1" s="1"/>
  <c r="Q34" i="1"/>
  <c r="R34" i="1" s="1"/>
  <c r="S34" i="1" s="1"/>
  <c r="T34" i="1" s="1"/>
  <c r="L36" i="1"/>
  <c r="L38" i="1"/>
  <c r="L31" i="1"/>
  <c r="L43" i="1"/>
  <c r="L14" i="1"/>
  <c r="L48" i="1"/>
  <c r="L19" i="1"/>
  <c r="O15" i="1"/>
  <c r="O57" i="1" s="1"/>
  <c r="M15" i="1"/>
  <c r="M57" i="1" s="1"/>
  <c r="Q8" i="1"/>
  <c r="R8" i="1" s="1"/>
  <c r="S8" i="1" s="1"/>
  <c r="T8" i="1" s="1"/>
  <c r="Q37" i="1"/>
  <c r="R37" i="1" s="1"/>
  <c r="S37" i="1" s="1"/>
  <c r="T37" i="1" s="1"/>
  <c r="L6" i="1"/>
  <c r="L5" i="1"/>
  <c r="L32" i="1"/>
  <c r="L29" i="1"/>
  <c r="L47" i="1"/>
  <c r="L39" i="1"/>
  <c r="L27" i="1"/>
  <c r="L21" i="1"/>
  <c r="Q25" i="1"/>
  <c r="R25" i="1" s="1"/>
  <c r="S25" i="1" s="1"/>
  <c r="T25" i="1" s="1"/>
  <c r="L20" i="1"/>
  <c r="L42" i="1"/>
  <c r="L40" i="1"/>
  <c r="L12" i="1"/>
  <c r="Q20" i="1"/>
  <c r="R20" i="1" s="1"/>
  <c r="S20" i="1" s="1"/>
  <c r="T20" i="1" s="1"/>
  <c r="Q40" i="1"/>
  <c r="R40" i="1" s="1"/>
  <c r="S40" i="1" s="1"/>
  <c r="T40" i="1" s="1"/>
  <c r="Q18" i="1"/>
  <c r="R18" i="1" s="1"/>
  <c r="S18" i="1" s="1"/>
  <c r="T18" i="1" s="1"/>
  <c r="L35" i="1"/>
  <c r="L44" i="1"/>
  <c r="Q7" i="1"/>
  <c r="R7" i="1" s="1"/>
  <c r="S7" i="1" s="1"/>
  <c r="T7" i="1" s="1"/>
  <c r="Q36" i="1"/>
  <c r="R36" i="1" s="1"/>
  <c r="S36" i="1" s="1"/>
  <c r="T36" i="1" s="1"/>
  <c r="L8" i="1"/>
  <c r="L37" i="1"/>
  <c r="L53" i="1"/>
  <c r="Q27" i="1"/>
  <c r="R27" i="1" s="1"/>
  <c r="S27" i="1" s="1"/>
  <c r="T27" i="1" s="1"/>
  <c r="Q21" i="1"/>
  <c r="R21" i="1" s="1"/>
  <c r="S21" i="1" s="1"/>
  <c r="T21" i="1" s="1"/>
  <c r="L30" i="1"/>
  <c r="Q30" i="1"/>
  <c r="R30" i="1" s="1"/>
  <c r="S30" i="1" s="1"/>
  <c r="T30" i="1" s="1"/>
  <c r="L54" i="1"/>
  <c r="Q35" i="1"/>
  <c r="R35" i="1" s="1"/>
  <c r="S35" i="1" s="1"/>
  <c r="T35" i="1" s="1"/>
  <c r="L10" i="1"/>
  <c r="Q42" i="1"/>
  <c r="R42" i="1" s="1"/>
  <c r="S42" i="1" s="1"/>
  <c r="T42" i="1" s="1"/>
  <c r="Q54" i="1"/>
  <c r="R54" i="1" s="1"/>
  <c r="S54" i="1" s="1"/>
  <c r="T54" i="1" s="1"/>
  <c r="L16" i="1"/>
  <c r="L55" i="1"/>
  <c r="L23" i="1"/>
  <c r="Q46" i="1"/>
  <c r="R46" i="1" s="1"/>
  <c r="S46" i="1" s="1"/>
  <c r="T46" i="1" s="1"/>
  <c r="Q11" i="1"/>
  <c r="R11" i="1" s="1"/>
  <c r="S11" i="1" s="1"/>
  <c r="T11" i="1" s="1"/>
  <c r="Q22" i="1"/>
  <c r="R22" i="1" s="1"/>
  <c r="S22" i="1" s="1"/>
  <c r="T22" i="1" s="1"/>
  <c r="Q33" i="1"/>
  <c r="R33" i="1" s="1"/>
  <c r="S33" i="1" s="1"/>
  <c r="T33" i="1" s="1"/>
  <c r="L17" i="1"/>
  <c r="Q32" i="1"/>
  <c r="R32" i="1" s="1"/>
  <c r="S32" i="1" s="1"/>
  <c r="T32" i="1" s="1"/>
  <c r="L24" i="1"/>
  <c r="Q48" i="1"/>
  <c r="R48" i="1" s="1"/>
  <c r="S48" i="1" s="1"/>
  <c r="T48" i="1" s="1"/>
  <c r="Q38" i="1"/>
  <c r="R38" i="1" s="1"/>
  <c r="S38" i="1" s="1"/>
  <c r="T38" i="1" s="1"/>
  <c r="Q14" i="1"/>
  <c r="R14" i="1" s="1"/>
  <c r="S14" i="1" s="1"/>
  <c r="T14" i="1" s="1"/>
  <c r="L13" i="1"/>
  <c r="L41" i="1"/>
  <c r="L25" i="1"/>
  <c r="Q39" i="1"/>
  <c r="R39" i="1" s="1"/>
  <c r="S39" i="1" s="1"/>
  <c r="T39" i="1" s="1"/>
  <c r="L26" i="1"/>
  <c r="Q13" i="1"/>
  <c r="R13" i="1" s="1"/>
  <c r="S13" i="1" s="1"/>
  <c r="T13" i="1" s="1"/>
  <c r="L52" i="1"/>
  <c r="L18" i="1"/>
  <c r="Q10" i="1"/>
  <c r="R10" i="1" s="1"/>
  <c r="S10" i="1" s="1"/>
  <c r="T10" i="1" s="1"/>
  <c r="L34" i="1"/>
  <c r="Q9" i="1"/>
  <c r="R9" i="1" s="1"/>
  <c r="S9" i="1" s="1"/>
  <c r="T9" i="1" s="1"/>
  <c r="Q16" i="1"/>
  <c r="R16" i="1" s="1"/>
  <c r="S16" i="1" s="1"/>
  <c r="T16" i="1" s="1"/>
  <c r="L7" i="1"/>
  <c r="L15" i="1"/>
  <c r="L9" i="1"/>
  <c r="Q12" i="1"/>
  <c r="R12" i="1" s="1"/>
  <c r="S12" i="1" s="1"/>
  <c r="T12" i="1" s="1"/>
  <c r="L49" i="1"/>
  <c r="L28" i="1"/>
  <c r="Q45" i="1"/>
  <c r="R45" i="1" s="1"/>
  <c r="S45" i="1" s="1"/>
  <c r="T45" i="1" s="1"/>
  <c r="Q44" i="1"/>
  <c r="R44" i="1" s="1"/>
  <c r="S44" i="1" s="1"/>
  <c r="T44" i="1" s="1"/>
  <c r="Q49" i="1"/>
  <c r="R49" i="1" s="1"/>
  <c r="S49" i="1" s="1"/>
  <c r="T49" i="1" s="1"/>
  <c r="L46" i="1"/>
  <c r="L11" i="1"/>
  <c r="L45" i="1"/>
  <c r="L22" i="1"/>
  <c r="Q23" i="1"/>
  <c r="R23" i="1" s="1"/>
  <c r="S23" i="1" s="1"/>
  <c r="T23" i="1" s="1"/>
  <c r="L51" i="1"/>
  <c r="L33" i="1"/>
  <c r="L50" i="1"/>
  <c r="Q28" i="1"/>
  <c r="R28" i="1" s="1"/>
  <c r="S28" i="1" s="1"/>
  <c r="T28" i="1" s="1"/>
  <c r="Q6" i="1"/>
  <c r="Q5" i="1"/>
  <c r="R5" i="1" s="1"/>
  <c r="S5" i="1" s="1"/>
  <c r="T5" i="1" s="1"/>
  <c r="Q15" i="1" l="1"/>
  <c r="R15" i="1" s="1"/>
  <c r="S15" i="1" s="1"/>
  <c r="T15" i="1" s="1"/>
  <c r="R6" i="1"/>
  <c r="S6" i="1" s="1"/>
  <c r="T6" i="1" s="1"/>
  <c r="L57" i="1"/>
  <c r="Q57" i="1" l="1"/>
  <c r="T57" i="1"/>
</calcChain>
</file>

<file path=xl/sharedStrings.xml><?xml version="1.0" encoding="utf-8"?>
<sst xmlns="http://schemas.openxmlformats.org/spreadsheetml/2006/main" count="180" uniqueCount="174">
  <si>
    <t>MEMÓRIA DE CÁLCULO</t>
  </si>
  <si>
    <t>PROPOSTA COMERCIAL</t>
  </si>
  <si>
    <t>Produto</t>
  </si>
  <si>
    <t>Referencia</t>
  </si>
  <si>
    <t>Modelo</t>
  </si>
  <si>
    <t>DIFAL</t>
  </si>
  <si>
    <t>Valor</t>
  </si>
  <si>
    <t>Qtde</t>
  </si>
  <si>
    <t>Total</t>
  </si>
  <si>
    <t>Frete</t>
  </si>
  <si>
    <t>Base</t>
  </si>
  <si>
    <t>Peso</t>
  </si>
  <si>
    <t>Impostos</t>
  </si>
  <si>
    <t>Lucro %</t>
  </si>
  <si>
    <t>Lucro</t>
  </si>
  <si>
    <t>Frete Entrega</t>
  </si>
  <si>
    <t>Unitário</t>
  </si>
  <si>
    <t>Produto 1</t>
  </si>
  <si>
    <t>Produto 2</t>
  </si>
  <si>
    <t>Produto 3</t>
  </si>
  <si>
    <t>Produto 4</t>
  </si>
  <si>
    <t>Produto 5</t>
  </si>
  <si>
    <t>Subtotal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</si>
  <si>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</si>
  <si>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</si>
  <si>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</si>
  <si>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</si>
  <si>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</si>
  <si>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</si>
  <si>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</si>
  <si>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</si>
  <si>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</si>
  <si>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</si>
  <si>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</si>
  <si>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</si>
  <si>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</si>
  <si>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</si>
  <si>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</si>
  <si>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</si>
  <si>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</si>
  <si>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</si>
  <si>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</si>
  <si>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</si>
  <si>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</si>
  <si>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</si>
  <si>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</si>
  <si>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</si>
  <si>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</si>
  <si>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</si>
  <si>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</si>
  <si>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</si>
  <si>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</si>
  <si>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</si>
  <si>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</si>
  <si>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</si>
  <si>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</si>
  <si>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</si>
  <si>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</si>
  <si>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</si>
  <si>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</si>
  <si>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</si>
  <si>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</si>
  <si>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</si>
  <si>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</si>
  <si>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</si>
  <si>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</si>
  <si>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</si>
  <si>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</si>
  <si>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Produto 51</t>
  </si>
  <si>
    <t>Conjunto de copos de vidro para água 350ml com 6un.</t>
  </si>
  <si>
    <t>Conjunto de taça de vinho em vidro com 6un</t>
  </si>
  <si>
    <t>Conjunto de xícaras 75ml e pires, porcelana branca com 6 un</t>
  </si>
  <si>
    <t>Jarra de vidro 5l para água com torneira e tampa</t>
  </si>
  <si>
    <t>Jarra de vidro para água com tampa de alumínio</t>
  </si>
  <si>
    <t>Jarra de inox com 2100ml</t>
  </si>
  <si>
    <t>Mini colher de café inox com 12un</t>
  </si>
  <si>
    <t>Pinça para gelo em inox</t>
  </si>
  <si>
    <t>Garfos sobremesa inox com 24un</t>
  </si>
  <si>
    <t>Facas sobremesa inox com 24un</t>
  </si>
  <si>
    <t>Colheres sobremesa inox com 24un</t>
  </si>
  <si>
    <t>Colher bailarina inox</t>
  </si>
  <si>
    <t>Balde de gelo inox 5l</t>
  </si>
  <si>
    <t>Açucareiro alumínio</t>
  </si>
  <si>
    <t>Porta guardanapo inox</t>
  </si>
  <si>
    <t>Bandeja alumínio com alças</t>
  </si>
  <si>
    <t>Tigela 200ml porcelana</t>
  </si>
  <si>
    <t>Porta copo emborrachado com 6un</t>
  </si>
  <si>
    <t>Escorredor de louça inox</t>
  </si>
  <si>
    <t>Organizador de talheres com tampa</t>
  </si>
  <si>
    <t>Pano para bandeja</t>
  </si>
  <si>
    <t>Toalha branca de mesa</t>
  </si>
  <si>
    <t>Pano de prato</t>
  </si>
  <si>
    <t>Dispenser sabão ABS 800ml parede</t>
  </si>
  <si>
    <t>Dispenser papel 200m ABS com chave</t>
  </si>
  <si>
    <t>Suporte papel 30m fixação adesiva</t>
  </si>
  <si>
    <t>Cesto 15l com pedal plástico</t>
  </si>
  <si>
    <t>Lixeira 50l papel toalha</t>
  </si>
  <si>
    <t>Torneira bica alta metal cromado</t>
  </si>
  <si>
    <t>Tapete capacho 100x50 antiderrapante</t>
  </si>
  <si>
    <t>Açúcar refinado 1kg</t>
  </si>
  <si>
    <t>Adoçante Stevia 80ml</t>
  </si>
  <si>
    <t>Guardanapo premium pacote 50 folhas</t>
  </si>
  <si>
    <t>Desengripante tipo WD aerossol 300ml</t>
  </si>
  <si>
    <t>Limpa vidros spray</t>
  </si>
  <si>
    <t>Sabão pastoso desengordurante 500g</t>
  </si>
  <si>
    <t>Sabonete líquido neutro litro</t>
  </si>
  <si>
    <t>Saco lixo 100L pacote 50un</t>
  </si>
  <si>
    <t>Saco lixo 15L pacote 100un</t>
  </si>
  <si>
    <t>Saco lixo 50L pacote 100un</t>
  </si>
  <si>
    <t>Pano limpeza móveis 30x30</t>
  </si>
  <si>
    <t>Pano limpeza piso 40x60</t>
  </si>
  <si>
    <t>Papel bobina 200m celulose</t>
  </si>
  <si>
    <t>Rodo alumínio 40cm cabo 1,30m</t>
  </si>
  <si>
    <t>Vassoura externa 40cm cerdas rígidas</t>
  </si>
  <si>
    <t>Vassoura interna 25cm cerdas macias</t>
  </si>
  <si>
    <t>Vassoura rígida interna 40cm</t>
  </si>
  <si>
    <t>Pá de lixo cabo 60cm</t>
  </si>
  <si>
    <t>Fita amarela demarcação 50mm x 30m</t>
  </si>
  <si>
    <t>Fita vermelha demarcação 50mm x 30m</t>
  </si>
  <si>
    <t>https://www.mercadolivre.com.br/jogo-6-copos-vidro-grosso-350ml-para-suco-smoothies-agua-portena/p/MLB37917248?pdp_filters=item_id%3AMLB4112643251&amp;from=gshop&amp;matt_tool=99023893&amp;matt_word=&amp;matt_source=google&amp;matt_campaign_id=23730959964&amp;matt_ad_group_id=195882049155&amp;matt_match_type=&amp;matt_network=g&amp;matt_device=c&amp;matt_creative=804370648033&amp;matt_keyword=&amp;matt_ad_position=&amp;matt_ad_type=pla&amp;matt_merchant_id=735125422&amp;matt_product_id=MLB37917248-product&amp;matt_product_partition_id=2469474883811&amp;matt_target_id=pla-2469474883811&amp;cq_src=google_ads&amp;cq_cmp=23730959964&amp;cq_net=g&amp;cq_plt=gp&amp;cq_med=pla&amp;gad_source=1&amp;gad_campaignid=23730959964&amp;gbraid=0AAAAAD93qcBhxo96dH3QXbzsXnjqZFVjm&amp;gclid=Cj0KCQjwh-HPBhCIARIsAC0p3cc-vmusfLJ3ypftT115xoglkm2vKLZRtsdg5VH6vYVtymwQKwE0Qm4aAr9ZEALw_wcB</t>
  </si>
  <si>
    <t>https://www.mercadolivre.com.br/jogo-6-tacas-de-vinho-490ml-mk-vidro-cristalino-transparente-elegance-xtra/p/MLB62869784#polycard_client=search-desktop&amp;be_origin=backend&amp;search_layout=grid&amp;position=38&amp;type=product&amp;tracking_id=6cd106ac-0f46-4f96-8f61-25434a368bcf&amp;wid=MLB4347676359&amp;sid=search</t>
  </si>
  <si>
    <t>https://www.mercadolivre.com.br/kit-6-xicaras-de-cafe-expresso-longo-75ml-com-pires-oxford-em-porcelana-branca/p/MLB52776222?pdp_filters=item_id%3AMLB4152524403&amp;from=gshop&amp;matt_tool=31923594&amp;matt_word=&amp;matt_source=google&amp;matt_campaign_id=23740812874&amp;matt_ad_group_id=195222707517&amp;matt_match_type=&amp;matt_network=g&amp;matt_device=c&amp;matt_creative=804370647538&amp;matt_keyword=&amp;matt_ad_position=&amp;matt_ad_type=pla&amp;matt_merchant_id=735125422&amp;matt_product_id=MLB52776222-product&amp;matt_product_partition_id=2388010494666&amp;matt_target_id=pla-2388010494666&amp;cq_src=google_ads&amp;cq_cmp=23740812874&amp;cq_net=g&amp;cq_plt=gp&amp;cq_med=pla&amp;gad_source=1&amp;gad_campaignid=23740812874&amp;gbraid=0AAAAAD93qcCw8jtcH7EmvwjY2wfSvcxyz&amp;gclid=Cj0KCQjwh-HPBhCIARIsAC0p3cc9rjyoV17Mq5qIz6JpVPmJXNp3eZenEDLZz7D8eCWY9lRsoSC16sMaAqEXEALw_wcB</t>
  </si>
  <si>
    <t>https://www.mercadolivre.com.br/suqueira-diamond-de-vidro-cristal-5-litros-com-torneira-e-tampa-jarra-dispenser-de-bebidas-para-agua-suco-e-drinks-ideal-para-mesa-posta-festa-evento-e-decoraco/p/MLB66001552?pdp_filters=item_id%3AMLB4493036235&amp;from=gshop&amp;matt_tool=31923594&amp;matt_word=&amp;matt_source=google&amp;matt_campaign_id=23740812874&amp;matt_ad_group_id=195222707037&amp;matt_match_type=&amp;matt_network=g&amp;matt_device=c&amp;matt_creative=804370647520&amp;matt_keyword=&amp;matt_ad_position=&amp;matt_ad_type=pla&amp;matt_merchant_id=735098639&amp;matt_product_id=MLB66001552-product&amp;matt_product_partition_id=2388289386841&amp;matt_target_id=pla-2388289386841&amp;cq_src=google_ads&amp;cq_cmp=23740812874&amp;cq_net=g&amp;cq_plt=gp&amp;cq_med=pla&amp;gad_source=1&amp;gad_campaignid=23740812874&amp;gbraid=0AAAAAD93qcCw8jtcH7EmvwjY2wfSvcxyz&amp;gclid=Cj0KCQjwh-HPBhCIARIsAC0p3ceLQgF0utKCIU-4Z8MwMJyn8-BITcSV_p-3DT9Z0ifvopoybYKtzaoaAqrKEALw_wcB</t>
  </si>
  <si>
    <t>https://www.mercadolivre.com.br/jarra-de-vidro-borossilicato-com-tampa-de-inox-18-litros/p/MLB38939800?pdp_filters=item_id:MLB4970195788#polycard_client=recommendations_pdp-pads-right&amp;wid=MLB4970195788&amp;sid=recos&amp;reco_backend=pdp_pads_right_rars_v2_with_default&amp;reco_model=rk_ent_v2_retsys_ads&amp;reco_client=pdp-pads-right&amp;reco_item_pos=0&amp;reco_backend_type=low_level&amp;reco_id=7213a7ab-fed4-424b-99d7-53740f7b990b&amp;is_advertising=true&amp;ad_domain=PDPDESKTOP_RIGHT&amp;ad_position=1&amp;ad_click_id=YzQ5MmNhYjYtYTc5Mi00NjhlLWE5YTctNDE3YTEzNDY1Y2Qx</t>
  </si>
  <si>
    <t>https://www.mercadolivre.com.br/jarra-inox-2l-tampa-aparador-de-gelo-suco-agua-promocao/up/MLBU3222994552?pdp_filters=item_id%3AMLB4085287291&amp;from=gshop&amp;matt_tool=71574831&amp;matt_internal_campaign_id=350625977&amp;matt_word=&amp;matt_source=google&amp;matt_campaign_id=23317041816&amp;matt_ad_group_id=198099792367&amp;matt_match_type=&amp;matt_network=g&amp;matt_device=c&amp;matt_creative=800757894175&amp;matt_keyword=&amp;matt_ad_position=&amp;matt_ad_type=pla&amp;matt_merchant_id=611049743&amp;matt_product_id=MLBU3222994552&amp;matt_product_partition_id=2473538495184&amp;matt_target_id=pla-2473538495184&amp;cq_src=google_ads&amp;cq_cmp=23317041816&amp;cq_net=g&amp;cq_plt=gp&amp;cq_med=pla&amp;gad_source=1&amp;gad_campaignid=23317041816&amp;gbraid=0AAAAAD93qcBGUMI_mVv-mLM6YkdZtgpK3&amp;gclid=Cj0KCQjwh-HPBhCIARIsAC0p3cfXl1ZcrYZ2w7TNPR1S9QDHD9fOKYUUkWOzBWZ6Lvh9sZ7VYeN3usAaAkvuEALw_wcB</t>
  </si>
  <si>
    <t>Prato sobremesa 20cm com 6 um</t>
  </si>
  <si>
    <t>https://www.mercadolivre.com.br/bormioli-rocco-coconut-jogo-6-pratos-sobremesa-21cm-branco/p/MLB25067573?quantity=4</t>
  </si>
  <si>
    <t>https://www.mercadolivre.com.br/jogo-garfo-faca-inox-sobremesa-buffet--24-pecas/up/MLBU1160498306#polycard_client=search-desktop&amp;be_origin=backend&amp;search_layout=grid&amp;position=21&amp;type=product&amp;tracking_id=2f4387e4-0b08-46ce-9f75-6b80e3968fae&amp;wid=MLB4087347992&amp;sid=search</t>
  </si>
  <si>
    <t>https://www.mercadolivre.com.br/acucareiro-aco-inox-300ml-prata-kehome-cozinha-elegante/p/MLB37901825#polycard_client=search-desktop&amp;be_origin=backend&amp;search_layout=grid&amp;position=7&amp;type=product&amp;tracking_id=bead332f-9b6d-4b95-a6c8-325948d0ed85&amp;wid=MLB5765798946&amp;sid=search</t>
  </si>
  <si>
    <t>https://www.comercialgomes.com.br/bandeja-retangular-com-alcas-em-inox-33x24-cm-ud15027.htm</t>
  </si>
  <si>
    <t>https://www.mercadolivre.com.br/kit-6-tigelas-porcelana-branca-200ml-bowl-pequeno-multiuso/up/MLBU3825078200#polycard_client=search-desktop&amp;be_origin=backend&amp;search_layout=grid&amp;position=46&amp;type=product&amp;tracking_id=b9f64c19-8c20-45ad-ab68-29542dcd6f6f&amp;wid=MLB6365742782&amp;sid=search</t>
  </si>
  <si>
    <t>https://produto.mercadolivre.com.br/MLB-3932806293-porta-copos-chop-cerveja-barmat-borracha-6-pcs-varias-cores-_JM?attributes=COLOR_SECONDARY_COLOR%3AUHJldG8%3D%2CPATTERN_NAME%3AUHJldG8%3D&amp;quantity=1&amp;picker=true&amp;searchVariation=182530299418</t>
  </si>
  <si>
    <t>https://www.mercadolivre.com.br/escorredor-de-pia-aco-12-pratos-prateado-rack-organizador/up/MLBU1358317827#polycard_client=recommendations_vip-v2p&amp;reco_backend=ranker_retrieval_online_vpp_v2p&amp;reco_model=coldstart_low_exposition&amp;reco_client=vip-v2p&amp;reco_item_pos=0&amp;reco_backend_type=low_level&amp;reco_id=720d1b34-a2f4-45d6-9244-4450849b32c1&amp;wid=MLB2832826578&amp;sid=recos</t>
  </si>
  <si>
    <t>https://www.mercadolivre.com.br/porta-talher-6-divisorias-rainha-com-tampa-organizador-de-talheres/p/MLB27011073#polycard_client=search-desktop&amp;be_origin=backend&amp;search_layout=grid&amp;position=6&amp;type=product&amp;tracking_id=7ae9c755-7db1-4b70-bd08-bea80bf59b6e&amp;wid=MLB4273098216&amp;sid=search</t>
  </si>
  <si>
    <t>https://www.mercadolivre.com.br/toalha-de-bandeja-bordada-bordados-do-ceara-branco-28x40cm/p/MLB44336466#polycard_client=search-desktop&amp;be_origin=backend&amp;search_layout=grid&amp;position=1&amp;type=product&amp;tracking_id=fa5f381b-a9ac-4eae-8282-208bd43b8ad3&amp;wid=MLB5202238518&amp;sid=search</t>
  </si>
  <si>
    <t>https://www.mercadolivre.com.br/toalha-de-mesa-6-lugares-retangular-rustica-luxo-200x140-cor-branco/p/MLB68597917?pdp_filters=item_id:MLB4634043185#is_advertising=true&amp;searchVariation=MLB68597917&amp;backend_model=search-backend&amp;be_origin=backend&amp;position=2&amp;search_layout=grid&amp;type=pad&amp;tracking_id=e97555d0-fd38-4e84-8fa9-dcc4915d31a8&amp;ad_domain=VQCATCORE_LST&amp;ad_position=2&amp;ad_click_id=N2IxNDVkNzYtYzQ0Ni00NTlmLTg4NjEtNmMyZjhjYWZmMGYx</t>
  </si>
  <si>
    <t>https://www.mercadolivre.com.br/kit-5-pano-cozinha-louca-algodo-xadrez-branca-alta-absorco-branco-xadrez/p/MLB63279379?pdp_filters=item_id:MLB4373286869#is_advertising=true&amp;searchVariation=MLB63279379&amp;backend_model=search-backend&amp;be_origin=backend&amp;position=1&amp;search_layout=grid&amp;type=pad&amp;tracking_id=ed15365c-9189-48d5-a36d-c10ec0998392&amp;ad_domain=VQCATCORE_LST&amp;ad_position=1&amp;ad_click_id=NWZmY2M4YWYtYWIwMi00ZmE2LWIyNGUtYzBlZGIwZWJlNTY2</t>
  </si>
  <si>
    <t>https://www.mercadolivre.com.br/saboneteira-dispenser-sem-reservatorio-800ml-premisse-velox/up/MLBU3490640219?pdp_filters=item_id:MLB4254857927#is_advertising=true&amp;searchVariation=MLBU3490640219&amp;backend_model=search-backend&amp;be_origin=backend&amp;position=4&amp;search_layout=grid&amp;type=pad&amp;tracking_id=11a1f1a3-955f-41de-902d-2ef0ff3f6082&amp;ad_domain=VQCATCORE_LST&amp;ad_position=4&amp;ad_click_id=NGZjZWVjNmUtNjQzNi00YzQ2LTk5ZTEtNzE4MzFkOTNiMWM4</t>
  </si>
  <si>
    <t>https://produto.mercadolivre.com.br/MLB-5442739008-dispenser-alavanca-para-papel-toalha-bobina-auto-corte-200m-_JM?matt_tool=18956390&amp;utm_source=google_shopping&amp;utm_medium=organic</t>
  </si>
  <si>
    <t>https://www.mercadolivre.com.br/suporte-metal-inox-papel-toalha-pano-prato-multiuso-cozinha/up/MLBU3537718627?pdp_filters=item_id:MLB4290438073#is_advertising=true&amp;searchVariation=MLBU3537718627&amp;backend_model=search-backend&amp;be_origin=backend&amp;position=3&amp;search_layout=grid&amp;type=pad&amp;tracking_id=524ce75b-4449-44df-84b1-9c3e3534b929&amp;ad_domain=VQCATCORE_LST&amp;ad_position=3&amp;ad_click_id=OTg5NWNmYWUtMGViMS00N2FjLWFiZWYtNTVjNzM5M2Y0MDRi</t>
  </si>
  <si>
    <t>https://www.mercadolivre.com.br/porta-papel-higinico-dami-cromado-de-inox-adesivo-para-parede/p/MLB52108811?pdp_filters=item_id:MLB5481765566#is_advertising=true&amp;searchVariation=MLB52108811&amp;backend_model=search-backend&amp;be_origin=backend&amp;position=6&amp;search_layout=grid&amp;type=pad&amp;tracking_id=296f2bde-28ba-406f-9b56-029dae8871f7&amp;ad_domain=VQCATCORE_LST&amp;ad_position=6&amp;ad_click_id=ZGY4ZjRjMTMtZGM3Mi00Yjc3LTg1YjctNWUzZDBmYTJiMWJl</t>
  </si>
  <si>
    <t>https://produto.mercadolivre.com.br/MLB-4095902745-lixeira-pedal-15l-cesto-de-lixo-banheiro-cozinha-tampa-preto-_JM#polycard_client=recommendations_pdp-pads-up&amp;reco_backend=recomm_platform_base_pads_rfa_MERGE&amp;reco_model=search_recos_backend_merge&amp;reco_client=pdp-pads-up&amp;reco_item_pos=0&amp;reco_backend_type=low_level&amp;reco_id=2ffbe2a2-869a-4085-9563-0d70c2aa6474&amp;is_advertising=true&amp;ad_domain=PDPDESKTOP_UP&amp;ad_position=1&amp;ad_click_id=NjU2ZjEwYTMtY2UyYi00NWZiLWEyZGYtNzZkYzRmYTRmMDhj</t>
  </si>
  <si>
    <t>https://loja.larplasticos.com.br/lixeira-com-pedal-50-litros-branco-lar-plasticos/p</t>
  </si>
  <si>
    <t>https://www.mercadolivre.com.br/1-tapete-porta-capacho-antiderrapante-50-x-100-oa-cl-mn-comprimento-1-m-cor-minerio-grafite-cinza-escuro-desenho-do-tecido-felpudo-peludo-largura-50-cm/p/MLB50769101#polycard_client=search-desktop&amp;be_origin=backend&amp;search_layout=grid&amp;position=1&amp;type=product&amp;tracking_id=7022b62c-a6d4-48db-a1ca-3fbb737b6281&amp;wid=MLB5412276046&amp;sid=search</t>
  </si>
  <si>
    <t>https://www.spanionline.com.br/produto/1177/acucar-refinado-uniao-1kg</t>
  </si>
  <si>
    <t>https://www.spanionline.com.br/produto/1662/adocante-liquido-stevia-80ml-zero-cal</t>
  </si>
  <si>
    <t>https://www.mercadolivre.com.br/snob-guardanapo-papel-folha-dupla-pequeno-200-folhas-macio/up/MLBU3440041614#polycard_client=search-desktop&amp;be_origin=backend&amp;search_layout=grid&amp;position=4&amp;type=product&amp;tracking_id=c958520e-2aee-47a7-9239-1043c7d72e4a&amp;wid=MLB5730504932&amp;sid=search</t>
  </si>
  <si>
    <t>https://www.mercadolivre.com.br/wd40-spray-multiusos-desengripa-lubrifica-300ml/up/MLBU951970922#polycard_client=search-desktop&amp;be_origin=backend&amp;search_layout=grid&amp;position=9&amp;type=product&amp;tracking_id=3dc25fb5-07c9-4271-acf1-d9fed8b5a986&amp;wid=MLB3843025927&amp;sid=search</t>
  </si>
  <si>
    <t>https://www.mercadolivre.com.br/limpa-vidros-azulim-com-alcool-500ml-brilho-sem-manchas-c-gatilho-secagem-rapida/p/MLB21462864?pdp_filters=item_id%3AMLB4427829920&amp;from=gshop&amp;matt_tool=96500450&amp;matt_word=&amp;matt_source=google&amp;matt_campaign_id=22090193675&amp;matt_ad_group_id=174661946044&amp;matt_match_type=&amp;matt_network=g&amp;matt_device=c&amp;matt_creative=727914178270&amp;matt_keyword=&amp;matt_ad_position=&amp;matt_ad_type=pla&amp;matt_merchant_id=735128761&amp;matt_product_id=MLB21462864-product&amp;matt_product_partition_id=2390515266915&amp;matt_target_id=pla-2390515266915&amp;cq_src=google_ads&amp;cq_cmp=22090193675&amp;cq_net=g&amp;cq_plt=gp&amp;cq_med=pla&amp;gad_source=1&amp;gad_campaignid=22090193675&amp;gbraid=0AAAAAD93qcD5GWkKELOcDFkem7dxyuryF&amp;gclid=Cj0KCQjwk_bPBhDXARIsACiq8R3hY5oRV0x0RD6yhzNziFyZG7JH3skypBeOIN5dqzqkj2TRtWfbgewaArLOEALw_wcB</t>
  </si>
  <si>
    <t>https://www.mercadolivre.com.br/kit-10-sabo-pasta-cristal-rosa-500g-multiuso/p/MLB2071411112?pdp_filters=item_id%3AMLB5783770520&amp;from=gshop&amp;matt_tool=96500450&amp;matt_word=&amp;matt_source=google&amp;matt_campaign_id=22090193675&amp;matt_ad_group_id=174661946044&amp;matt_match_type=&amp;matt_network=g&amp;matt_device=c&amp;matt_creative=727914178270&amp;matt_keyword=&amp;matt_ad_position=&amp;matt_ad_type=pla&amp;matt_merchant_id=735128188&amp;matt_product_id=MLB2071411112-product&amp;matt_product_partition_id=2390515266875&amp;matt_target_id=pla-2390515266875&amp;cq_src=google_ads&amp;cq_cmp=22090193675&amp;cq_net=g&amp;cq_plt=gp&amp;cq_med=pla&amp;gad_source=1&amp;gad_campaignid=22090193675&amp;gbraid=0AAAAAD93qcD5GWkKELOcDFkem7dxyuryF&amp;gclid=Cj0KCQjwk_bPBhDXARIsACiq8R2a2DM-1Q_7cQ7p_z_Zy8JtBKiDW6Mhw7F36YExN-sFMyAuzzUFF4waArLiEALw_wcB</t>
  </si>
  <si>
    <t>https://www.mercadolivre.com.br/sabonete-liquido-ph-neutro-atacado-5l-perfumado-erva-doce-nf/up/MLBU2886943055#polycard_client=search-desktop&amp;be_origin=backend&amp;search_layout=grid&amp;position=7&amp;type=product&amp;tracking_id=cd7a2d12-5d33-4298-a0d7-6c3b8c3c5b28&amp;wid=MLB5214013240&amp;sid=search</t>
  </si>
  <si>
    <t>https://www.kalunga.com.br/prod/fita-adesiva-demarcacao-solo-50mm-x-30m-vermelha-hb00453183-3m-rl-1-un/305199?cq_src=google_ads&amp;cq_cmp=17061683727&amp;cq_con=&amp;cq_term=&amp;cq_med=pla&amp;cq_plac=&amp;cq_net=x&amp;cq_pos=&amp;cq_plt=gp&amp;pcID=3902&amp;gad_source=1&amp;gad_campaignid=17075044496&amp;gbraid=0AAAAADj1B64Qg3bE2x_shlWKpFh5PGsxa&amp;gclid=Cj0KCQjwk_bPBhDXARIsACiq8R0KkDYD41PR9wz26X2_yBISaLbahZN3zNkjoUK6kb_PzomUc-TQngQaAujfEALw_wcB</t>
  </si>
  <si>
    <t>https://www.mercadolivre.com.br/mecflux-fita-para-demarcacao-de-solo-amarela-50mm-x-30m-scotch-3m-cor-amarelo/p/MLB61816348?pdp_filters=item_id%3AMLB6438936296&amp;from=gshop&amp;matt_tool=40300352&amp;matt_word=&amp;matt_source=google&amp;matt_campaign_id=22090354013&amp;matt_ad_group_id=195616607408&amp;matt_match_type=&amp;matt_network=g&amp;matt_device=c&amp;matt_creative=787871502365&amp;matt_keyword=&amp;matt_ad_position=&amp;matt_ad_type=pla&amp;matt_merchant_id=735125422&amp;matt_product_id=MLB61816348-product&amp;matt_product_partition_id=2468692396443&amp;matt_target_id=pla-2468692396443&amp;cq_src=google_ads&amp;cq_cmp=22090354013&amp;cq_net=g&amp;cq_plt=gp&amp;cq_med=pla&amp;gad_source=1&amp;gad_campaignid=22090354013&amp;gbraid=0AAAAAD93qcD1I9Vt6R8Vov8swX-apCPUH&amp;gclid=Cj0KCQjwk_bPBhDXARIsACiq8R0GSdc80r1MRGHga7tclx9pmPWpzrDRDSO9PJClnYf0g5AXYG2cHb0aAgykEALw_wcB</t>
  </si>
  <si>
    <t>https://www.kalunga.com.br/prod/fita-adesiva-demarcacao-solo-50mm-x-30m-amarela-hb00453184-3m-rl-1-un/305198/</t>
  </si>
  <si>
    <t>https://www.elastobor.com.br/pa-de-zinco-sanches-com-cabo-fixo-80cm-18x18cm/p</t>
  </si>
  <si>
    <t>https://www.fermaquinas.com.br/vassourao-cepa-madeira-fio-rigido-33300-max-ferramentas/p</t>
  </si>
  <si>
    <t>https://www.mercadolivre.com.br/escoba-uso-interno-con-cabo-32-cm-condor/p/MLB2055321783#polycard_client=search-desktop&amp;be_origin=backend&amp;search_layout=grid&amp;position=8&amp;type=product&amp;tracking_id=6bc0dbeb-d1fb-449b-8a9f-8dbfa2fcd6f4&amp;wid=MLB6184451108&amp;sid=search</t>
  </si>
  <si>
    <t>https://www.mercadolivre.com.br/rodo-todo-em-aluminio-40cm-preto--elegante-super-resistente/up/MLBU1734030159?pdp_filters=item_id%3AMLB3610815500&amp;from=gshop&amp;matt_tool=36462280&amp;matt_internal_campaign_id=356186034&amp;matt_word=&amp;matt_source=google&amp;matt_campaign_id=23317041816&amp;matt_ad_group_id=198342244247&amp;matt_match_type=&amp;matt_network=g&amp;matt_device=c&amp;matt_creative=801685216795&amp;matt_keyword=&amp;matt_ad_position=&amp;matt_ad_type=pla&amp;matt_merchant_id=276932932&amp;matt_product_id=MLBU1734030159&amp;matt_product_partition_id=2472568837568&amp;matt_target_id=pla-2472568837568&amp;cq_src=google_ads&amp;cq_cmp=23317041816&amp;cq_net=g&amp;cq_plt=gp&amp;cq_med=pla&amp;gad_source=1&amp;gad_campaignid=23317041816&amp;gbraid=0AAAAAD93qcD2JgC509akwMHjgBSODbCM7&amp;gclid=Cj0KCQjwk_bPBhDXARIsACiq8R0p1JO-D1qsLEL-HulgzGbK6tFcW6t_y097eskEaYTOpDbaPDmrfVgaAo3EEALw_wcB#reviews</t>
  </si>
  <si>
    <t>https://www.mercadolivre.com.br/papel-toalha-em-bobina-branco--6un-x-200m-dia-a-dia/up/MLBU3387489212?pdp_filters=item_id%3AMLB5640844984&amp;from=gshop&amp;matt_tool=57571962&amp;matt_word=&amp;matt_source=google&amp;matt_campaign_id=22090354028&amp;matt_ad_group_id=191786754441&amp;matt_match_type=&amp;matt_network=g&amp;matt_device=c&amp;matt_creative=782869960967&amp;matt_keyword=&amp;matt_ad_position=&amp;matt_ad_type=pla&amp;matt_merchant_id=5768562488&amp;matt_product_id=MLBU3387489212&amp;matt_product_partition_id=2471556567751&amp;matt_target_id=pla-2471556567751&amp;cq_src=google_ads&amp;cq_cmp=22090354028&amp;cq_net=g&amp;cq_plt=gp&amp;cq_med=pla&amp;gad_source=1&amp;gad_campaignid=22090354028&amp;gbraid=0AAAAAD93qcByrQE7UjBRmHl66mIz8opnU&amp;gclid=Cj0KCQjwk_bPBhDXARIsACiq8R3URIvN2FCE_Gdp7hwvv_nqrKrrOn7Q99lr_VxroBBHjyT8TQ2QHpAaAoEkEALw_wcB</t>
  </si>
  <si>
    <t>https://www.mercadolivre.com.br/kit-20-pano-de-chao-branco-grande-saco-duplo-algodao-atacado/up/MLBU3176498146?pdp_filters=item_id%3AMLB4060852317&amp;from=gshop&amp;matt_tool=67184579&amp;matt_internal_campaign_id=353389142&amp;matt_word=&amp;matt_source=google&amp;matt_campaign_id=23048606145&amp;matt_ad_group_id=193800652962&amp;matt_match_type=&amp;matt_network=g&amp;matt_device=c&amp;matt_creative=794626068611&amp;matt_keyword=&amp;matt_ad_position=&amp;matt_ad_type=pla&amp;matt_merchant_id=5581826584&amp;matt_product_id=MLBU3176498146&amp;matt_product_partition_id=2464792863490&amp;matt_target_id=pla-2464792863490&amp;cq_src=google_ads&amp;cq_cmp=23048606145&amp;cq_net=g&amp;cq_plt=gp&amp;cq_med=pla&amp;gad_source=1&amp;gad_campaignid=23048606145&amp;gbraid=0AAAAAD93qcCIS1Rfr-B-n1j61wT6pYSyn&amp;gclid=Cj0KCQjwk_bPBhDXARIsACiq8R1iV7hsxt0Khpycg7NR7GWkjNPVChpYNFnnkCIuDZ4IUP4s0EiXhqsaAgYFEALw_wcB</t>
  </si>
  <si>
    <t>https://www.mercadolivre.com.br/kit-10-flanela-microfibra-limpa-vidro-pia-pano-multiuso-tipo-colorido/p/MLB57554333#polycard_client=search-desktop&amp;be_origin=backend&amp;search_layout=grid&amp;position=7&amp;type=product&amp;tracking_id=ac74a70c-e408-445e-b7da-4425c23c285f&amp;wid=MLB4264653383&amp;sid=search</t>
  </si>
  <si>
    <t>https://www.mercadolivre.com.br/saco-de-lixo-50-litros-reforcado-100-unidades-forte-lixex/p/MLB44290301?pdp_filters=item_id:MLB3923837393#polycard_client=recommendations_vip-pads-up&amp;wid=MLB3923837393&amp;sid=recos&amp;reco_backend=vip-pads-retrieval-system-supermarket-odin-repurchase_supermarket&amp;reco_model=rk_ent_v2_retsys_ads&amp;reco_client=vip-pads-up&amp;reco_item_pos=1&amp;reco_id=b29cfa34-0373-4e7c-9ac3-1536d494ab93&amp;is_advertising=true&amp;ad_domain=VIPDESKTOP_UP&amp;ad_position=2&amp;ad_click_id=NjIxZTAxZmItZWEzMC00OTIzLTlhMGUtZDQyYzBmNDc2ZDFh</t>
  </si>
  <si>
    <t>https://www.mercadolivre.com.br/saco-para-lixo-lixex--15-litros--10-pacotes/up/MLBU1968477878?pdp_filters=item_id%3AMLB1950671132#polycard_client=mshops-appearance-api&amp;component=collection_grid&amp;wid=MLB1950671132&amp;title=ECONOMIZE+COMPRANDO+DIRETO+DE+F%C3%81BRICA%21&amp;tracking_id=17d6ab13c6197eec50b94cb2c42ab8e6&amp;sid=storefronts&amp;global_position=12</t>
  </si>
  <si>
    <t>https://www.mercadolivre.com.br/saco-de-lixo-100-litros-reforcado-50-unidades-forte-lixex/up/MLBU1992796230?pdp_filters=item_id%3AMLB4984117496#polycard_client=mshops-appearance-api&amp;component=tabbed_carousel&amp;wid=MLB4984117496&amp;title=USO+DOM%C3%89STICO%21+MELHOR+CUSTO+X+BENEF%C3%8DCIO+DO+MERCADO&amp;tracking_id=ccc7a382aee5337438cd65defdb490df&amp;sid=storefronts&amp;global_position=10</t>
  </si>
  <si>
    <t>https://www.mercadolivre.com.br/kit-12-colheres-para-sobremesa-aco-inox-tramontina-buzios-cor-do-cabo-prateada/p/MLB26161593#polycard_client=search-desktop&amp;be_origin=backend&amp;search_layout=grid&amp;position=3&amp;type=product&amp;tracking_id=bccd148c-71b2-4401-954e-1129bbee01f8&amp;wid=MLB4507237770&amp;sid=search</t>
  </si>
  <si>
    <t>https://www.mercadolivre.com.br/garfo-para-sobremesa-buzios-com-12-pecas-tramontina-inox/p/MLB56084884#polycard_client=search-desktop&amp;be_origin=backend&amp;search_layout=grid&amp;position=7&amp;type=product&amp;tracking_id=8d0de7f4-6ae0-47bd-8d0c-7ec0aa208b3a&amp;wid=MLB5697765114&amp;sid=search</t>
  </si>
  <si>
    <t>https://www.mercadolivre.com.br/faca-para-sobremesa-buzios-com-12-pecas-tramontina/p/MLB27661694?pdp_filters=seller_id%3A1362713399#polycard_client=search-desktop&amp;be_origin=backend&amp;search_layout=grid&amp;position=8&amp;type=product&amp;tracking_id=7ecaf50c-a9ae-423b-bcc6-5a1e6c11b6a2&amp;wid=MLB5601316530&amp;sid=search</t>
  </si>
  <si>
    <t>https://www.mercadolivre.com.br/kit-12-colheres-cafe-tramontina-aco-inox/p/MLB27331607?pdp_filters=seller_id%3A1362713399#polycard_client=search-desktop&amp;be_origin=backend&amp;search_layout=grid&amp;position=1&amp;type=product&amp;tracking_id=bcb5877e-a42d-41d0-b672-bb3a3ef3a074&amp;wid=MLB4498911488&amp;sid=search</t>
  </si>
  <si>
    <t>https://www.mercadolivre.com.br/pegador-multiuso-carnes-saladas-inox-tramontina/p/MLB26980141#polycard_client=search-desktop&amp;be_origin=backend&amp;search_layout=grid&amp;position=9&amp;type=product&amp;tracking_id=c537eecd-af03-44a9-af41-17fa72ffebb3&amp;wid=MLB5017359524&amp;sid=search</t>
  </si>
  <si>
    <t>https://www.mercadolivre.com.br/colher-bailarina-30cm-tramontina-amazonas-coquetel-drink-suc/up/MLBU1472020864#polycard_client=search-desktop&amp;be_origin=backend&amp;search_layout=grid&amp;position=7&amp;type=product&amp;tracking_id=b150d0a4-07c7-4a53-9741-aeda48606d9e&amp;wid=MLB4456801142&amp;sid=search</t>
  </si>
  <si>
    <t>https://www.mercadolivre.com.br/balde-para-garrafas-tramontina-20-cm-52-l/p/MLB31781304#polycard_client=search-desktop&amp;be_origin=backend&amp;search_layout=grid&amp;position=4&amp;type=product&amp;tracking_id=4967da76-d6b5-4279-a77a-ed12bf0c37c6&amp;wid=MLB3805245701&amp;sid=search</t>
  </si>
  <si>
    <t>https://www.mercadolivre.com.br/acucareiro-tramontina-em-aco-inox-com-pa-84-cm/p/MLB28749884#polycard_client=search-desktop&amp;be_origin=backend&amp;search_layout=grid&amp;position=1&amp;type=product&amp;tracking_id=46da5267-f5d2-4492-9ebc-2a7faf939bff&amp;wid=MLB4522464191&amp;sid=search</t>
  </si>
  <si>
    <t>https://www.mercadolivre.com.br/porta-guardanapos-tramontina-quadrata-11-cm-cor-cinza-liso/p/MLB26293556#polycard_client=search-desktop&amp;be_origin=backend&amp;search_layout=grid&amp;position=2&amp;type=product&amp;tracking_id=b2a0d213-023b-449e-9a7e-4495313c23f5&amp;wid=MLB4143341511&amp;sid=search</t>
  </si>
  <si>
    <t>https://www.mercadolivre.com.br/torneira-de-mesa-bica-alta-para-lavatorio-polo-cromado-deca-1198c33/p/MLB15454956?pdp_filters=item_id:MLB2994640314#is_advertising=true&amp;searchVariation=MLB15454956&amp;backend_model=search-backend&amp;be_origin=backend&amp;position=1&amp;search_layout=grid&amp;type=pad&amp;tracking_id=80065509-0013-4f01-b6d0-06b19a07ac3e&amp;ad_domain=VQCATCORE_LST&amp;ad_position=1&amp;ad_click_id=NWE0MzVmYjUtNDAwNC00ZGYxLThiZGQtZWJiNWYwZmMzNj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</si>
</sst>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1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rgb="FF0070C0"/>
      <name val="Calibri"/>
      <family val="2"/>
    </font>
    <font>
      <b/>
      <sz val="14"/>
      <color theme="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i/>
      <sz val="14"/>
      <color theme="1"/>
      <name val="Calibri"/>
      <family val="2"/>
    </font>
    <font>
      <sz val="9"/>
      <color theme="1"/>
      <name val="Montserrat"/>
    </font>
    <font>
      <sz val="11"/>
      <color theme="1"/>
      <name val="Montserrat"/>
    </font>
    <font>
      <sz val="11"/>
      <color rgb="FF000000"/>
      <name val="Montserrat"/>
    </font>
    <font>
      <sz val="8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10" fontId="3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1" fillId="0" borderId="2" xfId="0" applyFont="1" applyBorder="1"/>
    <xf numFmtId="0" fontId="2" fillId="0" borderId="2" xfId="0" applyFont="1" applyBorder="1"/>
    <xf numFmtId="164" fontId="2" fillId="0" borderId="2" xfId="0" applyNumberFormat="1" applyFont="1" applyBorder="1"/>
    <xf numFmtId="164" fontId="1" fillId="0" borderId="2" xfId="0" applyNumberFormat="1" applyFont="1" applyBorder="1"/>
    <xf numFmtId="9" fontId="1" fillId="0" borderId="2" xfId="0" applyNumberFormat="1" applyFont="1" applyBorder="1"/>
    <xf numFmtId="10" fontId="1" fillId="0" borderId="2" xfId="0" applyNumberFormat="1" applyFont="1" applyBorder="1"/>
    <xf numFmtId="0" fontId="8" fillId="0" borderId="0" xfId="0" applyFont="1"/>
    <xf numFmtId="0" fontId="3" fillId="0" borderId="0" xfId="0" applyFont="1"/>
    <xf numFmtId="2" fontId="9" fillId="0" borderId="0" xfId="0" applyNumberFormat="1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164" fontId="13" fillId="0" borderId="2" xfId="0" applyNumberFormat="1" applyFont="1" applyBorder="1"/>
    <xf numFmtId="0" fontId="14" fillId="0" borderId="2" xfId="0" applyFont="1" applyBorder="1"/>
    <xf numFmtId="164" fontId="14" fillId="0" borderId="2" xfId="0" applyNumberFormat="1" applyFont="1" applyBorder="1"/>
    <xf numFmtId="0" fontId="15" fillId="0" borderId="0" xfId="1"/>
    <xf numFmtId="0" fontId="15" fillId="3" borderId="0" xfId="1" applyFill="1"/>
    <xf numFmtId="0" fontId="2" fillId="3" borderId="0" xfId="0" applyFont="1" applyFill="1"/>
    <xf numFmtId="0" fontId="7" fillId="3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ercadolivre.com.br/acucareiro-aco-inox-300ml-prata-kehome-cozinha-elegante/p/MLB37901825" TargetMode="External"/><Relationship Id="rId1" Type="http://schemas.openxmlformats.org/officeDocument/2006/relationships/hyperlink" Target="https://www.mercadolivre.com.br/jogo-garfo-faca-inox-sobremesa-buffet--24-pecas/up/MLBU11604983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9"/>
  <sheetViews>
    <sheetView showGridLines="0" tabSelected="1" zoomScale="85" zoomScaleNormal="85" workbookViewId="0">
      <selection activeCell="E34" sqref="E34"/>
    </sheetView>
  </sheetViews>
  <sheetFormatPr defaultColWidth="14.42578125" defaultRowHeight="15" customHeight="1" x14ac:dyDescent="0.25"/>
  <cols>
    <col min="1" max="1" width="13.140625" customWidth="1"/>
    <col min="2" max="2" width="38.7109375" bestFit="1" customWidth="1"/>
    <col min="3" max="3" width="14.42578125" hidden="1"/>
    <col min="4" max="4" width="7.85546875" hidden="1" customWidth="1"/>
    <col min="5" max="5" width="18.140625" customWidth="1"/>
    <col min="6" max="6" width="7.28515625" customWidth="1"/>
    <col min="7" max="7" width="18.140625" customWidth="1"/>
    <col min="9" max="9" width="16.5703125" hidden="1" customWidth="1"/>
    <col min="10" max="10" width="22.7109375" bestFit="1" customWidth="1"/>
    <col min="11" max="11" width="14.42578125" hidden="1" customWidth="1"/>
    <col min="12" max="12" width="10" hidden="1" customWidth="1"/>
    <col min="13" max="13" width="19.85546875" bestFit="1" customWidth="1"/>
    <col min="14" max="14" width="10" bestFit="1" customWidth="1"/>
    <col min="15" max="15" width="19.42578125" bestFit="1" customWidth="1"/>
    <col min="16" max="16" width="18.140625" customWidth="1"/>
    <col min="17" max="17" width="14.42578125" hidden="1" customWidth="1"/>
    <col min="18" max="18" width="12.85546875" hidden="1" customWidth="1"/>
    <col min="19" max="19" width="18.140625" customWidth="1"/>
    <col min="20" max="20" width="22.7109375" bestFit="1" customWidth="1"/>
    <col min="21" max="21" width="9.7109375" customWidth="1"/>
    <col min="22" max="28" width="9.140625" customWidth="1"/>
  </cols>
  <sheetData>
    <row r="1" spans="1:28" ht="18.75" customHeight="1" x14ac:dyDescent="0.3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8.75" customHeight="1" x14ac:dyDescent="0.3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8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>
        <v>9.4500000000000001E-2</v>
      </c>
      <c r="N3" s="3"/>
      <c r="O3" s="4"/>
      <c r="P3" s="5"/>
      <c r="Q3" s="2"/>
      <c r="R3" s="6"/>
      <c r="S3" s="6"/>
      <c r="T3" s="6"/>
      <c r="U3" s="2"/>
      <c r="V3" s="2"/>
      <c r="W3" s="2"/>
      <c r="X3" s="2"/>
      <c r="Y3" s="2"/>
      <c r="Z3" s="2"/>
      <c r="AA3" s="2"/>
      <c r="AB3" s="2"/>
    </row>
    <row r="4" spans="1:28" ht="18.75" customHeight="1" x14ac:dyDescent="0.3">
      <c r="A4" s="7" t="s">
        <v>2</v>
      </c>
      <c r="B4" s="7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5</v>
      </c>
      <c r="J4" s="7" t="s">
        <v>8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8</v>
      </c>
      <c r="R4" s="9" t="s">
        <v>16</v>
      </c>
      <c r="S4" s="9" t="s">
        <v>16</v>
      </c>
      <c r="T4" s="7" t="s">
        <v>8</v>
      </c>
      <c r="U4" s="2"/>
      <c r="V4" s="2"/>
      <c r="W4" s="2"/>
      <c r="X4" s="2"/>
      <c r="Y4" s="2"/>
      <c r="Z4" s="2"/>
      <c r="AA4" s="2"/>
      <c r="AB4" s="2"/>
    </row>
    <row r="5" spans="1:28" ht="18.75" customHeight="1" x14ac:dyDescent="0.3">
      <c r="A5" s="2" t="s">
        <v>17</v>
      </c>
      <c r="B5" s="2" t="s">
        <v>69</v>
      </c>
      <c r="C5" s="2"/>
      <c r="D5" s="10"/>
      <c r="E5" s="6">
        <v>29.56</v>
      </c>
      <c r="F5" s="11">
        <v>4</v>
      </c>
      <c r="G5" s="6">
        <f t="shared" ref="G5:G55" si="0">E5*F5</f>
        <v>118.24</v>
      </c>
      <c r="H5" s="6">
        <v>5</v>
      </c>
      <c r="I5" s="6">
        <f t="shared" ref="I5:I29" si="1">IF(D5&lt;&gt;"",(G5+H5)*0.07,0)</f>
        <v>0</v>
      </c>
      <c r="J5" s="6">
        <f t="shared" ref="J5:J55" si="2">G5+H5+I5</f>
        <v>123.24</v>
      </c>
      <c r="K5" s="6">
        <f>J5*1/(1-$M$3-N5)</f>
        <v>163.12375909993384</v>
      </c>
      <c r="L5" s="12">
        <f>K5/$K$57</f>
        <v>6.3003139421285194E-3</v>
      </c>
      <c r="M5" s="6">
        <f t="shared" ref="M5:M55" si="3">K5*$M$3</f>
        <v>15.415195234943747</v>
      </c>
      <c r="N5" s="4">
        <v>0.15</v>
      </c>
      <c r="O5" s="6">
        <f t="shared" ref="O5:O55" si="4">K5*N5</f>
        <v>24.468563864990074</v>
      </c>
      <c r="P5" s="6">
        <v>5</v>
      </c>
      <c r="Q5" s="6">
        <f t="shared" ref="Q5:Q55" si="5">J5+M5+O5+P5</f>
        <v>168.12375909993381</v>
      </c>
      <c r="R5" s="6">
        <f t="shared" ref="R5:R55" si="6">Q5/F5</f>
        <v>42.030939774983452</v>
      </c>
      <c r="S5" s="6">
        <f t="shared" ref="S5:S55" si="7">MROUND(R5,0.05)</f>
        <v>42.050000000000004</v>
      </c>
      <c r="T5" s="6">
        <f t="shared" ref="T5:T55" si="8">S5*F5</f>
        <v>168.20000000000002</v>
      </c>
      <c r="U5" s="13" t="s">
        <v>119</v>
      </c>
      <c r="V5" s="2"/>
      <c r="W5" s="2"/>
      <c r="X5" s="2"/>
      <c r="Y5" s="2"/>
      <c r="Z5" s="2"/>
      <c r="AA5" s="2"/>
      <c r="AB5" s="2"/>
    </row>
    <row r="6" spans="1:28" ht="18.75" customHeight="1" x14ac:dyDescent="0.3">
      <c r="A6" s="2" t="s">
        <v>18</v>
      </c>
      <c r="B6" s="2" t="s">
        <v>70</v>
      </c>
      <c r="C6" s="2"/>
      <c r="D6" s="10"/>
      <c r="E6" s="6">
        <v>63.85</v>
      </c>
      <c r="F6" s="11">
        <v>4</v>
      </c>
      <c r="G6" s="6">
        <f t="shared" si="0"/>
        <v>255.4</v>
      </c>
      <c r="H6" s="6">
        <v>5</v>
      </c>
      <c r="I6" s="6">
        <f t="shared" si="1"/>
        <v>0</v>
      </c>
      <c r="J6" s="6">
        <f t="shared" si="2"/>
        <v>260.39999999999998</v>
      </c>
      <c r="K6" s="6">
        <f t="shared" ref="K6:K29" si="9">J6*1/(1-$M$3-N6)</f>
        <v>344.67240238252811</v>
      </c>
      <c r="L6" s="12">
        <f t="shared" ref="L6:L55" si="10">K6/$K$57</f>
        <v>1.3312250491157628E-2</v>
      </c>
      <c r="M6" s="6">
        <f t="shared" si="3"/>
        <v>32.571542025148908</v>
      </c>
      <c r="N6" s="4">
        <v>0.15</v>
      </c>
      <c r="O6" s="6">
        <f t="shared" si="4"/>
        <v>51.700860357379213</v>
      </c>
      <c r="P6" s="6">
        <v>5</v>
      </c>
      <c r="Q6" s="6">
        <f t="shared" si="5"/>
        <v>349.67240238252811</v>
      </c>
      <c r="R6" s="6">
        <f t="shared" si="6"/>
        <v>87.418100595632026</v>
      </c>
      <c r="S6" s="6">
        <f t="shared" si="7"/>
        <v>87.4</v>
      </c>
      <c r="T6" s="6">
        <f t="shared" si="8"/>
        <v>349.6</v>
      </c>
      <c r="U6" s="14" t="s">
        <v>120</v>
      </c>
      <c r="V6" s="14"/>
      <c r="W6" s="2"/>
      <c r="X6" s="2"/>
      <c r="Y6" s="2"/>
      <c r="Z6" s="2"/>
      <c r="AA6" s="2"/>
      <c r="AB6" s="2"/>
    </row>
    <row r="7" spans="1:28" ht="18.75" x14ac:dyDescent="0.3">
      <c r="A7" s="2" t="s">
        <v>19</v>
      </c>
      <c r="B7" s="2" t="s">
        <v>71</v>
      </c>
      <c r="C7" s="15"/>
      <c r="D7" s="10"/>
      <c r="E7" s="6">
        <v>106.6</v>
      </c>
      <c r="F7" s="11">
        <v>4</v>
      </c>
      <c r="G7" s="6">
        <f t="shared" si="0"/>
        <v>426.4</v>
      </c>
      <c r="H7" s="6">
        <v>5</v>
      </c>
      <c r="I7" s="6">
        <f t="shared" si="1"/>
        <v>0</v>
      </c>
      <c r="J7" s="6">
        <f t="shared" si="2"/>
        <v>431.4</v>
      </c>
      <c r="K7" s="6">
        <f t="shared" si="9"/>
        <v>571.01257445400392</v>
      </c>
      <c r="L7" s="12">
        <f t="shared" si="10"/>
        <v>2.205416613627266E-2</v>
      </c>
      <c r="M7" s="6">
        <f t="shared" si="3"/>
        <v>53.960688285903373</v>
      </c>
      <c r="N7" s="4">
        <v>0.15</v>
      </c>
      <c r="O7" s="6">
        <f t="shared" si="4"/>
        <v>85.651886168100589</v>
      </c>
      <c r="P7" s="6">
        <v>5</v>
      </c>
      <c r="Q7" s="6">
        <f t="shared" si="5"/>
        <v>576.01257445400392</v>
      </c>
      <c r="R7" s="6">
        <f t="shared" si="6"/>
        <v>144.00314361350098</v>
      </c>
      <c r="S7" s="6">
        <f t="shared" si="7"/>
        <v>144</v>
      </c>
      <c r="T7" s="6">
        <f t="shared" si="8"/>
        <v>576</v>
      </c>
      <c r="U7" s="14" t="s">
        <v>121</v>
      </c>
      <c r="V7" s="2"/>
      <c r="W7" s="2"/>
      <c r="X7" s="2"/>
      <c r="Y7" s="2"/>
      <c r="Z7" s="2"/>
      <c r="AA7" s="2"/>
      <c r="AB7" s="2"/>
    </row>
    <row r="8" spans="1:28" ht="18.75" x14ac:dyDescent="0.3">
      <c r="A8" s="2" t="s">
        <v>20</v>
      </c>
      <c r="B8" s="2" t="s">
        <v>72</v>
      </c>
      <c r="C8" s="15"/>
      <c r="D8" s="10"/>
      <c r="E8" s="6">
        <v>147.9</v>
      </c>
      <c r="F8" s="11">
        <v>1</v>
      </c>
      <c r="G8" s="6">
        <f t="shared" si="0"/>
        <v>147.9</v>
      </c>
      <c r="H8" s="6">
        <v>5</v>
      </c>
      <c r="I8" s="6">
        <f t="shared" si="1"/>
        <v>0</v>
      </c>
      <c r="J8" s="6">
        <f t="shared" si="2"/>
        <v>152.9</v>
      </c>
      <c r="K8" s="6">
        <f t="shared" si="9"/>
        <v>202.38252812706818</v>
      </c>
      <c r="L8" s="12">
        <f t="shared" si="10"/>
        <v>7.8166017668894073E-3</v>
      </c>
      <c r="M8" s="6">
        <f t="shared" si="3"/>
        <v>19.125148908007944</v>
      </c>
      <c r="N8" s="4">
        <v>0.15</v>
      </c>
      <c r="O8" s="6">
        <f t="shared" si="4"/>
        <v>30.357379219060228</v>
      </c>
      <c r="P8" s="6">
        <v>5</v>
      </c>
      <c r="Q8" s="6">
        <f t="shared" si="5"/>
        <v>207.38252812706818</v>
      </c>
      <c r="R8" s="6">
        <f t="shared" si="6"/>
        <v>207.38252812706818</v>
      </c>
      <c r="S8" s="6">
        <f t="shared" si="7"/>
        <v>207.4</v>
      </c>
      <c r="T8" s="6">
        <f t="shared" si="8"/>
        <v>207.4</v>
      </c>
      <c r="U8" s="14" t="s">
        <v>122</v>
      </c>
      <c r="V8" s="2"/>
      <c r="W8" s="2"/>
      <c r="X8" s="2"/>
      <c r="Y8" s="2"/>
      <c r="Z8" s="2"/>
      <c r="AA8" s="2"/>
      <c r="AB8" s="2"/>
    </row>
    <row r="9" spans="1:28" ht="18.75" x14ac:dyDescent="0.3">
      <c r="A9" s="2" t="s">
        <v>21</v>
      </c>
      <c r="B9" s="2" t="s">
        <v>73</v>
      </c>
      <c r="C9" s="15"/>
      <c r="D9" s="10"/>
      <c r="E9" s="6">
        <v>37.72</v>
      </c>
      <c r="F9" s="11">
        <v>3</v>
      </c>
      <c r="G9" s="6">
        <f t="shared" si="0"/>
        <v>113.16</v>
      </c>
      <c r="H9" s="6">
        <v>5</v>
      </c>
      <c r="I9" s="6">
        <f t="shared" si="1"/>
        <v>0</v>
      </c>
      <c r="J9" s="6">
        <f t="shared" si="2"/>
        <v>118.16</v>
      </c>
      <c r="K9" s="6">
        <f t="shared" si="9"/>
        <v>156.39973527465256</v>
      </c>
      <c r="L9" s="12">
        <f t="shared" si="10"/>
        <v>6.0406125884607739E-3</v>
      </c>
      <c r="M9" s="6">
        <f t="shared" si="3"/>
        <v>14.779774983454667</v>
      </c>
      <c r="N9" s="4">
        <v>0.15</v>
      </c>
      <c r="O9" s="6">
        <f t="shared" si="4"/>
        <v>23.459960291197884</v>
      </c>
      <c r="P9" s="6">
        <v>5</v>
      </c>
      <c r="Q9" s="6">
        <f t="shared" si="5"/>
        <v>161.39973527465256</v>
      </c>
      <c r="R9" s="6">
        <f t="shared" si="6"/>
        <v>53.799911758217519</v>
      </c>
      <c r="S9" s="6">
        <f t="shared" si="7"/>
        <v>53.800000000000004</v>
      </c>
      <c r="T9" s="6">
        <f t="shared" si="8"/>
        <v>161.4</v>
      </c>
      <c r="U9" s="14" t="s">
        <v>123</v>
      </c>
      <c r="V9" s="2"/>
      <c r="W9" s="2"/>
      <c r="X9" s="2"/>
      <c r="Y9" s="2"/>
      <c r="Z9" s="2"/>
      <c r="AA9" s="2"/>
      <c r="AB9" s="2"/>
    </row>
    <row r="10" spans="1:28" ht="18.75" customHeight="1" x14ac:dyDescent="0.3">
      <c r="A10" s="2" t="s">
        <v>23</v>
      </c>
      <c r="B10" s="2" t="s">
        <v>74</v>
      </c>
      <c r="C10" s="2"/>
      <c r="D10" s="10"/>
      <c r="E10" s="6">
        <v>63.9</v>
      </c>
      <c r="F10" s="11">
        <v>3</v>
      </c>
      <c r="G10" s="6">
        <f t="shared" si="0"/>
        <v>191.7</v>
      </c>
      <c r="H10" s="6">
        <v>5</v>
      </c>
      <c r="I10" s="6">
        <f t="shared" si="1"/>
        <v>0</v>
      </c>
      <c r="J10" s="6">
        <f t="shared" si="2"/>
        <v>196.7</v>
      </c>
      <c r="K10" s="6">
        <f t="shared" si="9"/>
        <v>260.35737921906025</v>
      </c>
      <c r="L10" s="12">
        <f t="shared" si="10"/>
        <v>1.0055759107567995E-2</v>
      </c>
      <c r="M10" s="6">
        <f t="shared" si="3"/>
        <v>24.603772336201192</v>
      </c>
      <c r="N10" s="4">
        <v>0.15</v>
      </c>
      <c r="O10" s="6">
        <f t="shared" si="4"/>
        <v>39.053606882859036</v>
      </c>
      <c r="P10" s="6">
        <v>5</v>
      </c>
      <c r="Q10" s="6">
        <f t="shared" si="5"/>
        <v>265.35737921906019</v>
      </c>
      <c r="R10" s="6">
        <f t="shared" si="6"/>
        <v>88.452459739686731</v>
      </c>
      <c r="S10" s="6">
        <f t="shared" si="7"/>
        <v>88.45</v>
      </c>
      <c r="T10" s="6">
        <f t="shared" si="8"/>
        <v>265.35000000000002</v>
      </c>
      <c r="U10" s="13" t="s">
        <v>124</v>
      </c>
      <c r="V10" s="2"/>
      <c r="W10" s="2"/>
      <c r="X10" s="2"/>
      <c r="Y10" s="2"/>
      <c r="Z10" s="2"/>
      <c r="AA10" s="2"/>
      <c r="AB10" s="2"/>
    </row>
    <row r="11" spans="1:28" ht="18.75" customHeight="1" x14ac:dyDescent="0.3">
      <c r="A11" s="2" t="s">
        <v>24</v>
      </c>
      <c r="B11" s="2" t="s">
        <v>75</v>
      </c>
      <c r="C11" s="2"/>
      <c r="D11" s="10"/>
      <c r="E11" s="6">
        <v>26</v>
      </c>
      <c r="F11" s="11">
        <v>2</v>
      </c>
      <c r="G11" s="6">
        <f t="shared" si="0"/>
        <v>52</v>
      </c>
      <c r="H11" s="6">
        <v>5</v>
      </c>
      <c r="I11" s="6">
        <f t="shared" si="1"/>
        <v>0</v>
      </c>
      <c r="J11" s="6">
        <f t="shared" si="2"/>
        <v>57</v>
      </c>
      <c r="K11" s="6">
        <f t="shared" si="9"/>
        <v>75.446724023825283</v>
      </c>
      <c r="L11" s="12">
        <f t="shared" si="10"/>
        <v>2.9139718817050111E-3</v>
      </c>
      <c r="M11" s="6">
        <f t="shared" si="3"/>
        <v>7.1297154202514896</v>
      </c>
      <c r="N11" s="4">
        <v>0.15</v>
      </c>
      <c r="O11" s="6">
        <f t="shared" si="4"/>
        <v>11.317008603573791</v>
      </c>
      <c r="P11" s="6">
        <v>5</v>
      </c>
      <c r="Q11" s="6">
        <f t="shared" si="5"/>
        <v>80.446724023825283</v>
      </c>
      <c r="R11" s="6">
        <f t="shared" si="6"/>
        <v>40.223362011912641</v>
      </c>
      <c r="S11" s="6">
        <f t="shared" si="7"/>
        <v>40.200000000000003</v>
      </c>
      <c r="T11" s="6">
        <f t="shared" si="8"/>
        <v>80.400000000000006</v>
      </c>
      <c r="U11" s="14" t="s">
        <v>167</v>
      </c>
      <c r="V11" s="14"/>
      <c r="W11" s="2"/>
      <c r="X11" s="2"/>
      <c r="Y11" s="2"/>
      <c r="Z11" s="2"/>
      <c r="AA11" s="2"/>
      <c r="AB11" s="2"/>
    </row>
    <row r="12" spans="1:28" ht="18.75" x14ac:dyDescent="0.3">
      <c r="A12" s="2" t="s">
        <v>25</v>
      </c>
      <c r="B12" s="2" t="s">
        <v>76</v>
      </c>
      <c r="C12" s="15"/>
      <c r="D12" s="10"/>
      <c r="E12" s="6">
        <v>23</v>
      </c>
      <c r="F12" s="11">
        <v>3</v>
      </c>
      <c r="G12" s="6">
        <f t="shared" si="0"/>
        <v>69</v>
      </c>
      <c r="H12" s="6">
        <v>5</v>
      </c>
      <c r="I12" s="6">
        <f t="shared" si="1"/>
        <v>0</v>
      </c>
      <c r="J12" s="6">
        <f t="shared" si="2"/>
        <v>74</v>
      </c>
      <c r="K12" s="6">
        <f t="shared" si="9"/>
        <v>97.948378557246869</v>
      </c>
      <c r="L12" s="12">
        <f t="shared" si="10"/>
        <v>3.7830512148451026E-3</v>
      </c>
      <c r="M12" s="6">
        <f t="shared" si="3"/>
        <v>9.2561217736598298</v>
      </c>
      <c r="N12" s="4">
        <v>0.15</v>
      </c>
      <c r="O12" s="6">
        <f t="shared" si="4"/>
        <v>14.69225678358703</v>
      </c>
      <c r="P12" s="6">
        <v>5</v>
      </c>
      <c r="Q12" s="6">
        <f t="shared" si="5"/>
        <v>102.94837855724685</v>
      </c>
      <c r="R12" s="6">
        <f t="shared" si="6"/>
        <v>34.316126185748949</v>
      </c>
      <c r="S12" s="6">
        <f t="shared" si="7"/>
        <v>34.300000000000004</v>
      </c>
      <c r="T12" s="6">
        <f t="shared" si="8"/>
        <v>102.9</v>
      </c>
      <c r="U12" s="14" t="s">
        <v>168</v>
      </c>
      <c r="V12" s="2"/>
      <c r="W12" s="2"/>
      <c r="X12" s="2"/>
      <c r="Y12" s="2"/>
      <c r="Z12" s="2"/>
      <c r="AA12" s="2"/>
      <c r="AB12" s="2"/>
    </row>
    <row r="13" spans="1:28" ht="18.75" x14ac:dyDescent="0.3">
      <c r="A13" s="2" t="s">
        <v>26</v>
      </c>
      <c r="B13" s="2" t="s">
        <v>125</v>
      </c>
      <c r="C13" s="15"/>
      <c r="D13" s="10"/>
      <c r="E13" s="6">
        <v>63.98</v>
      </c>
      <c r="F13" s="11">
        <v>4</v>
      </c>
      <c r="G13" s="6">
        <f t="shared" si="0"/>
        <v>255.92</v>
      </c>
      <c r="H13" s="6">
        <v>5</v>
      </c>
      <c r="I13" s="6">
        <f t="shared" si="1"/>
        <v>0</v>
      </c>
      <c r="J13" s="6">
        <f t="shared" si="2"/>
        <v>260.91999999999996</v>
      </c>
      <c r="K13" s="6">
        <f t="shared" si="9"/>
        <v>345.36068828590334</v>
      </c>
      <c r="L13" s="12">
        <f t="shared" si="10"/>
        <v>1.3338834094288972E-2</v>
      </c>
      <c r="M13" s="6">
        <f t="shared" si="3"/>
        <v>32.636585043017867</v>
      </c>
      <c r="N13" s="4">
        <v>0.15</v>
      </c>
      <c r="O13" s="6">
        <f t="shared" si="4"/>
        <v>51.804103242885496</v>
      </c>
      <c r="P13" s="6">
        <v>5</v>
      </c>
      <c r="Q13" s="6">
        <f t="shared" si="5"/>
        <v>350.36068828590334</v>
      </c>
      <c r="R13" s="6">
        <f t="shared" si="6"/>
        <v>87.590172071475834</v>
      </c>
      <c r="S13" s="6">
        <f t="shared" si="7"/>
        <v>87.600000000000009</v>
      </c>
      <c r="T13" s="6">
        <f t="shared" si="8"/>
        <v>350.40000000000003</v>
      </c>
      <c r="U13" s="14" t="s">
        <v>126</v>
      </c>
      <c r="V13" s="2"/>
      <c r="W13" s="2"/>
      <c r="X13" s="2"/>
      <c r="Y13" s="2"/>
      <c r="Z13" s="2"/>
      <c r="AA13" s="2"/>
      <c r="AB13" s="2"/>
    </row>
    <row r="14" spans="1:28" ht="18.75" x14ac:dyDescent="0.3">
      <c r="A14" s="2" t="s">
        <v>27</v>
      </c>
      <c r="B14" s="2" t="s">
        <v>77</v>
      </c>
      <c r="C14" s="15"/>
      <c r="D14" s="10"/>
      <c r="E14" s="6">
        <f>50*2</f>
        <v>100</v>
      </c>
      <c r="F14" s="11">
        <v>1</v>
      </c>
      <c r="G14" s="6">
        <f t="shared" si="0"/>
        <v>100</v>
      </c>
      <c r="H14" s="6">
        <v>5</v>
      </c>
      <c r="I14" s="6">
        <f t="shared" si="1"/>
        <v>0</v>
      </c>
      <c r="J14" s="6">
        <f t="shared" si="2"/>
        <v>105</v>
      </c>
      <c r="K14" s="6">
        <f t="shared" si="9"/>
        <v>138.98080741230973</v>
      </c>
      <c r="L14" s="12">
        <f t="shared" si="10"/>
        <v>5.3678429399829147E-3</v>
      </c>
      <c r="M14" s="6">
        <f t="shared" si="3"/>
        <v>13.133686300463269</v>
      </c>
      <c r="N14" s="4">
        <v>0.15</v>
      </c>
      <c r="O14" s="6">
        <f t="shared" si="4"/>
        <v>20.847121111846459</v>
      </c>
      <c r="P14" s="6">
        <v>5</v>
      </c>
      <c r="Q14" s="6">
        <f t="shared" si="5"/>
        <v>143.98080741230973</v>
      </c>
      <c r="R14" s="6">
        <f t="shared" si="6"/>
        <v>143.98080741230973</v>
      </c>
      <c r="S14" s="6">
        <f t="shared" si="7"/>
        <v>144</v>
      </c>
      <c r="T14" s="6">
        <f t="shared" si="8"/>
        <v>144</v>
      </c>
      <c r="U14" s="14" t="s">
        <v>165</v>
      </c>
      <c r="V14" s="32" t="s">
        <v>127</v>
      </c>
      <c r="W14" s="2"/>
      <c r="X14" s="2"/>
      <c r="Y14" s="2"/>
      <c r="Z14" s="2"/>
      <c r="AA14" s="2"/>
      <c r="AB14" s="2"/>
    </row>
    <row r="15" spans="1:28" ht="18.75" customHeight="1" x14ac:dyDescent="0.3">
      <c r="A15" s="2" t="s">
        <v>28</v>
      </c>
      <c r="B15" s="2" t="s">
        <v>78</v>
      </c>
      <c r="C15" s="2"/>
      <c r="D15" s="10"/>
      <c r="E15" s="6">
        <f>69*2</f>
        <v>138</v>
      </c>
      <c r="F15" s="11">
        <v>1</v>
      </c>
      <c r="G15" s="6">
        <f t="shared" si="0"/>
        <v>138</v>
      </c>
      <c r="H15" s="6">
        <v>5</v>
      </c>
      <c r="I15" s="6">
        <f t="shared" si="1"/>
        <v>0</v>
      </c>
      <c r="J15" s="6">
        <f t="shared" si="2"/>
        <v>143</v>
      </c>
      <c r="K15" s="6">
        <f t="shared" si="9"/>
        <v>189.27862342819327</v>
      </c>
      <c r="L15" s="12">
        <f t="shared" si="10"/>
        <v>7.3104908611195899E-3</v>
      </c>
      <c r="M15" s="6">
        <f t="shared" si="3"/>
        <v>17.886829913964263</v>
      </c>
      <c r="N15" s="4">
        <v>0.15</v>
      </c>
      <c r="O15" s="6">
        <f t="shared" si="4"/>
        <v>28.39179351422899</v>
      </c>
      <c r="P15" s="6">
        <v>5</v>
      </c>
      <c r="Q15" s="6">
        <f t="shared" si="5"/>
        <v>194.27862342819327</v>
      </c>
      <c r="R15" s="6">
        <f t="shared" si="6"/>
        <v>194.27862342819327</v>
      </c>
      <c r="S15" s="6">
        <f t="shared" si="7"/>
        <v>194.3</v>
      </c>
      <c r="T15" s="6">
        <f t="shared" si="8"/>
        <v>194.3</v>
      </c>
      <c r="U15" s="13" t="s">
        <v>166</v>
      </c>
      <c r="V15" s="33"/>
      <c r="W15" s="2"/>
      <c r="X15" s="2"/>
      <c r="Y15" s="2"/>
      <c r="Z15" s="2"/>
      <c r="AA15" s="2"/>
      <c r="AB15" s="2"/>
    </row>
    <row r="16" spans="1:28" ht="18.75" customHeight="1" x14ac:dyDescent="0.3">
      <c r="A16" s="2" t="s">
        <v>29</v>
      </c>
      <c r="B16" s="2" t="s">
        <v>79</v>
      </c>
      <c r="C16" s="2"/>
      <c r="D16" s="10"/>
      <c r="E16" s="6">
        <f>42*2</f>
        <v>84</v>
      </c>
      <c r="F16" s="11">
        <v>1</v>
      </c>
      <c r="G16" s="6">
        <f t="shared" si="0"/>
        <v>84</v>
      </c>
      <c r="H16" s="6">
        <v>5</v>
      </c>
      <c r="I16" s="6">
        <f t="shared" si="1"/>
        <v>0</v>
      </c>
      <c r="J16" s="6">
        <f t="shared" si="2"/>
        <v>89</v>
      </c>
      <c r="K16" s="6">
        <f t="shared" si="9"/>
        <v>117.80277961614826</v>
      </c>
      <c r="L16" s="12">
        <f t="shared" si="10"/>
        <v>4.5498859205569476E-3</v>
      </c>
      <c r="M16" s="6">
        <f t="shared" si="3"/>
        <v>11.132362673726011</v>
      </c>
      <c r="N16" s="4">
        <v>0.15</v>
      </c>
      <c r="O16" s="6">
        <f t="shared" si="4"/>
        <v>17.670416942422239</v>
      </c>
      <c r="P16" s="6">
        <v>5</v>
      </c>
      <c r="Q16" s="6">
        <f t="shared" si="5"/>
        <v>122.80277961614824</v>
      </c>
      <c r="R16" s="6">
        <f t="shared" si="6"/>
        <v>122.80277961614824</v>
      </c>
      <c r="S16" s="6">
        <f t="shared" si="7"/>
        <v>122.80000000000001</v>
      </c>
      <c r="T16" s="6">
        <f t="shared" si="8"/>
        <v>122.80000000000001</v>
      </c>
      <c r="U16" s="14" t="s">
        <v>164</v>
      </c>
      <c r="V16" s="14"/>
      <c r="W16" s="2"/>
      <c r="X16" s="2"/>
      <c r="Y16" s="2"/>
      <c r="Z16" s="2"/>
      <c r="AA16" s="2"/>
      <c r="AB16" s="2"/>
    </row>
    <row r="17" spans="1:28" ht="18.75" x14ac:dyDescent="0.3">
      <c r="A17" s="2" t="s">
        <v>30</v>
      </c>
      <c r="B17" s="2" t="s">
        <v>80</v>
      </c>
      <c r="C17" s="15"/>
      <c r="D17" s="10"/>
      <c r="E17" s="6">
        <v>42</v>
      </c>
      <c r="F17" s="11">
        <v>3</v>
      </c>
      <c r="G17" s="6">
        <f t="shared" si="0"/>
        <v>126</v>
      </c>
      <c r="H17" s="6">
        <v>5</v>
      </c>
      <c r="I17" s="6">
        <f t="shared" si="1"/>
        <v>0</v>
      </c>
      <c r="J17" s="6">
        <f t="shared" si="2"/>
        <v>131</v>
      </c>
      <c r="K17" s="6">
        <f t="shared" si="9"/>
        <v>173.39510258107214</v>
      </c>
      <c r="L17" s="12">
        <f t="shared" si="10"/>
        <v>6.6970230965501133E-3</v>
      </c>
      <c r="M17" s="6">
        <f t="shared" si="3"/>
        <v>16.385837193911318</v>
      </c>
      <c r="N17" s="4">
        <v>0.15</v>
      </c>
      <c r="O17" s="6">
        <f t="shared" si="4"/>
        <v>26.00926538716082</v>
      </c>
      <c r="P17" s="6">
        <v>5</v>
      </c>
      <c r="Q17" s="6">
        <f t="shared" si="5"/>
        <v>178.39510258107214</v>
      </c>
      <c r="R17" s="6">
        <f t="shared" si="6"/>
        <v>59.465034193690713</v>
      </c>
      <c r="S17" s="6">
        <f t="shared" si="7"/>
        <v>59.45</v>
      </c>
      <c r="T17" s="6">
        <f t="shared" si="8"/>
        <v>178.35000000000002</v>
      </c>
      <c r="U17" s="14" t="s">
        <v>169</v>
      </c>
      <c r="V17" s="2"/>
      <c r="W17" s="2"/>
      <c r="X17" s="2"/>
      <c r="Y17" s="2"/>
      <c r="Z17" s="2"/>
      <c r="AA17" s="2"/>
      <c r="AB17" s="2"/>
    </row>
    <row r="18" spans="1:28" ht="18.75" x14ac:dyDescent="0.3">
      <c r="A18" s="2" t="s">
        <v>31</v>
      </c>
      <c r="B18" s="2" t="s">
        <v>81</v>
      </c>
      <c r="C18" s="15"/>
      <c r="D18" s="10"/>
      <c r="E18" s="6">
        <v>365</v>
      </c>
      <c r="F18" s="11">
        <v>3</v>
      </c>
      <c r="G18" s="6">
        <f t="shared" si="0"/>
        <v>1095</v>
      </c>
      <c r="H18" s="6">
        <v>5</v>
      </c>
      <c r="I18" s="6">
        <f t="shared" si="1"/>
        <v>0</v>
      </c>
      <c r="J18" s="6">
        <f t="shared" si="2"/>
        <v>1100</v>
      </c>
      <c r="K18" s="6">
        <f t="shared" si="9"/>
        <v>1455.989410986102</v>
      </c>
      <c r="L18" s="12">
        <f t="shared" si="10"/>
        <v>5.6234545085535305E-2</v>
      </c>
      <c r="M18" s="6">
        <f t="shared" si="3"/>
        <v>137.59099933818663</v>
      </c>
      <c r="N18" s="4">
        <v>0.15</v>
      </c>
      <c r="O18" s="6">
        <f t="shared" si="4"/>
        <v>218.39841164791531</v>
      </c>
      <c r="P18" s="6">
        <v>5</v>
      </c>
      <c r="Q18" s="6">
        <f t="shared" si="5"/>
        <v>1460.9894109861018</v>
      </c>
      <c r="R18" s="6">
        <f t="shared" si="6"/>
        <v>486.99647032870058</v>
      </c>
      <c r="S18" s="6">
        <f t="shared" si="7"/>
        <v>487</v>
      </c>
      <c r="T18" s="6">
        <f t="shared" si="8"/>
        <v>1461</v>
      </c>
      <c r="U18" s="14" t="s">
        <v>170</v>
      </c>
      <c r="V18" s="2"/>
      <c r="W18" s="2"/>
      <c r="X18" s="2"/>
      <c r="Y18" s="2"/>
      <c r="Z18" s="2"/>
      <c r="AA18" s="2"/>
      <c r="AB18" s="2"/>
    </row>
    <row r="19" spans="1:28" ht="18.75" x14ac:dyDescent="0.3">
      <c r="A19" s="2" t="s">
        <v>32</v>
      </c>
      <c r="B19" s="2" t="s">
        <v>82</v>
      </c>
      <c r="C19" s="15"/>
      <c r="D19" s="10"/>
      <c r="E19" s="6">
        <v>189</v>
      </c>
      <c r="F19" s="11">
        <v>3</v>
      </c>
      <c r="G19" s="6">
        <f t="shared" si="0"/>
        <v>567</v>
      </c>
      <c r="H19" s="6">
        <v>5</v>
      </c>
      <c r="I19" s="6">
        <f t="shared" si="1"/>
        <v>0</v>
      </c>
      <c r="J19" s="6">
        <f t="shared" si="2"/>
        <v>572</v>
      </c>
      <c r="K19" s="6">
        <f t="shared" si="9"/>
        <v>757.11449371277308</v>
      </c>
      <c r="L19" s="12">
        <f t="shared" si="10"/>
        <v>2.924196344447836E-2</v>
      </c>
      <c r="M19" s="6">
        <f t="shared" si="3"/>
        <v>71.547319655857052</v>
      </c>
      <c r="N19" s="4">
        <v>0.15</v>
      </c>
      <c r="O19" s="6">
        <f t="shared" si="4"/>
        <v>113.56717405691596</v>
      </c>
      <c r="P19" s="6">
        <v>5</v>
      </c>
      <c r="Q19" s="6">
        <f t="shared" si="5"/>
        <v>762.11449371277308</v>
      </c>
      <c r="R19" s="6">
        <f t="shared" si="6"/>
        <v>254.03816457092435</v>
      </c>
      <c r="S19" s="6">
        <f t="shared" si="7"/>
        <v>254.05</v>
      </c>
      <c r="T19" s="6">
        <f t="shared" si="8"/>
        <v>762.15000000000009</v>
      </c>
      <c r="U19" s="14" t="s">
        <v>171</v>
      </c>
      <c r="V19" s="31"/>
      <c r="W19" s="31" t="s">
        <v>128</v>
      </c>
      <c r="X19" s="2"/>
      <c r="Y19" s="2"/>
      <c r="Z19" s="2"/>
      <c r="AA19" s="2"/>
      <c r="AB19" s="2"/>
    </row>
    <row r="20" spans="1:28" ht="18.75" customHeight="1" x14ac:dyDescent="0.3">
      <c r="A20" s="2" t="s">
        <v>33</v>
      </c>
      <c r="B20" s="2" t="s">
        <v>83</v>
      </c>
      <c r="C20" s="2"/>
      <c r="D20" s="10"/>
      <c r="E20" s="6">
        <v>81</v>
      </c>
      <c r="F20" s="11">
        <v>4</v>
      </c>
      <c r="G20" s="6">
        <f t="shared" si="0"/>
        <v>324</v>
      </c>
      <c r="H20" s="6">
        <v>5</v>
      </c>
      <c r="I20" s="6">
        <f t="shared" si="1"/>
        <v>0</v>
      </c>
      <c r="J20" s="6">
        <f t="shared" si="2"/>
        <v>329</v>
      </c>
      <c r="K20" s="6">
        <f t="shared" si="9"/>
        <v>435.47319655857052</v>
      </c>
      <c r="L20" s="12">
        <f t="shared" si="10"/>
        <v>1.6819241211946469E-2</v>
      </c>
      <c r="M20" s="6">
        <f t="shared" si="3"/>
        <v>41.152217074784915</v>
      </c>
      <c r="N20" s="4">
        <v>0.15</v>
      </c>
      <c r="O20" s="6">
        <f t="shared" si="4"/>
        <v>65.320979483785578</v>
      </c>
      <c r="P20" s="6">
        <v>5</v>
      </c>
      <c r="Q20" s="6">
        <f t="shared" si="5"/>
        <v>440.47319655857052</v>
      </c>
      <c r="R20" s="6">
        <f t="shared" si="6"/>
        <v>110.11829913964263</v>
      </c>
      <c r="S20" s="6">
        <f t="shared" si="7"/>
        <v>110.10000000000001</v>
      </c>
      <c r="T20" s="6">
        <f t="shared" si="8"/>
        <v>440.40000000000003</v>
      </c>
      <c r="U20" s="13" t="s">
        <v>172</v>
      </c>
      <c r="V20" s="2"/>
      <c r="W20" s="2"/>
      <c r="X20" s="2"/>
      <c r="Y20" s="2"/>
      <c r="Z20" s="2"/>
      <c r="AA20" s="2"/>
      <c r="AB20" s="2"/>
    </row>
    <row r="21" spans="1:28" ht="18.75" customHeight="1" x14ac:dyDescent="0.3">
      <c r="A21" s="2" t="s">
        <v>34</v>
      </c>
      <c r="B21" s="2" t="s">
        <v>84</v>
      </c>
      <c r="C21" s="2"/>
      <c r="D21" s="10"/>
      <c r="E21" s="6">
        <v>66</v>
      </c>
      <c r="F21" s="11">
        <v>3</v>
      </c>
      <c r="G21" s="6">
        <f t="shared" si="0"/>
        <v>198</v>
      </c>
      <c r="H21" s="6">
        <v>32</v>
      </c>
      <c r="I21" s="6">
        <f t="shared" si="1"/>
        <v>0</v>
      </c>
      <c r="J21" s="6">
        <f t="shared" si="2"/>
        <v>230</v>
      </c>
      <c r="K21" s="6">
        <f t="shared" si="9"/>
        <v>304.43414956982133</v>
      </c>
      <c r="L21" s="12">
        <f t="shared" si="10"/>
        <v>1.175813215424829E-2</v>
      </c>
      <c r="M21" s="6">
        <f t="shared" si="3"/>
        <v>28.769027134348114</v>
      </c>
      <c r="N21" s="4">
        <v>0.15</v>
      </c>
      <c r="O21" s="6">
        <f t="shared" si="4"/>
        <v>45.665122435473201</v>
      </c>
      <c r="P21" s="6">
        <v>5</v>
      </c>
      <c r="Q21" s="6">
        <f t="shared" si="5"/>
        <v>309.43414956982133</v>
      </c>
      <c r="R21" s="6">
        <f t="shared" si="6"/>
        <v>103.14471652327377</v>
      </c>
      <c r="S21" s="6">
        <f t="shared" si="7"/>
        <v>103.15</v>
      </c>
      <c r="T21" s="6">
        <f t="shared" si="8"/>
        <v>309.45000000000005</v>
      </c>
      <c r="U21" s="14" t="s">
        <v>129</v>
      </c>
      <c r="V21" s="14"/>
      <c r="W21" s="2"/>
      <c r="X21" s="2"/>
      <c r="Y21" s="2"/>
      <c r="Z21" s="2"/>
      <c r="AA21" s="2"/>
      <c r="AB21" s="2"/>
    </row>
    <row r="22" spans="1:28" ht="18.75" x14ac:dyDescent="0.3">
      <c r="A22" s="2" t="s">
        <v>35</v>
      </c>
      <c r="B22" s="2" t="s">
        <v>85</v>
      </c>
      <c r="C22" s="15"/>
      <c r="D22" s="10"/>
      <c r="E22" s="6">
        <f>56/5</f>
        <v>11.2</v>
      </c>
      <c r="F22" s="11">
        <v>5</v>
      </c>
      <c r="G22" s="6">
        <f t="shared" si="0"/>
        <v>56</v>
      </c>
      <c r="H22" s="6">
        <v>5</v>
      </c>
      <c r="I22" s="6">
        <f t="shared" si="1"/>
        <v>0</v>
      </c>
      <c r="J22" s="6">
        <f t="shared" si="2"/>
        <v>61</v>
      </c>
      <c r="K22" s="6">
        <f t="shared" si="9"/>
        <v>80.741230972865651</v>
      </c>
      <c r="L22" s="12">
        <f t="shared" si="10"/>
        <v>3.1184611365615029E-3</v>
      </c>
      <c r="M22" s="6">
        <f t="shared" si="3"/>
        <v>7.6300463269358039</v>
      </c>
      <c r="N22" s="4">
        <v>0.15</v>
      </c>
      <c r="O22" s="6">
        <f t="shared" si="4"/>
        <v>12.111184645929848</v>
      </c>
      <c r="P22" s="6">
        <v>5</v>
      </c>
      <c r="Q22" s="6">
        <f t="shared" si="5"/>
        <v>85.741230972865651</v>
      </c>
      <c r="R22" s="6">
        <f t="shared" si="6"/>
        <v>17.148246194573129</v>
      </c>
      <c r="S22" s="6">
        <f t="shared" si="7"/>
        <v>17.150000000000002</v>
      </c>
      <c r="T22" s="6">
        <f t="shared" si="8"/>
        <v>85.750000000000014</v>
      </c>
      <c r="U22" s="14" t="s">
        <v>130</v>
      </c>
      <c r="V22" s="2"/>
      <c r="W22" s="2"/>
      <c r="X22" s="2"/>
      <c r="Y22" s="2"/>
      <c r="Z22" s="2"/>
      <c r="AA22" s="2"/>
      <c r="AB22" s="2"/>
    </row>
    <row r="23" spans="1:28" ht="18.75" x14ac:dyDescent="0.3">
      <c r="A23" s="2" t="s">
        <v>36</v>
      </c>
      <c r="B23" s="2" t="s">
        <v>86</v>
      </c>
      <c r="C23" s="15"/>
      <c r="D23" s="10"/>
      <c r="E23" s="6">
        <v>19.43</v>
      </c>
      <c r="F23" s="11">
        <v>4</v>
      </c>
      <c r="G23" s="6">
        <f t="shared" si="0"/>
        <v>77.72</v>
      </c>
      <c r="H23" s="6">
        <v>5</v>
      </c>
      <c r="I23" s="6">
        <f t="shared" si="1"/>
        <v>0</v>
      </c>
      <c r="J23" s="6">
        <f t="shared" si="2"/>
        <v>82.72</v>
      </c>
      <c r="K23" s="6">
        <f t="shared" si="9"/>
        <v>109.49040370615486</v>
      </c>
      <c r="L23" s="12">
        <f t="shared" si="10"/>
        <v>4.2288377904322544E-3</v>
      </c>
      <c r="M23" s="6">
        <f t="shared" si="3"/>
        <v>10.346843150231635</v>
      </c>
      <c r="N23" s="4">
        <v>0.15</v>
      </c>
      <c r="O23" s="6">
        <f t="shared" si="4"/>
        <v>16.423560555923228</v>
      </c>
      <c r="P23" s="6">
        <v>5</v>
      </c>
      <c r="Q23" s="6">
        <f t="shared" si="5"/>
        <v>114.49040370615486</v>
      </c>
      <c r="R23" s="6">
        <f t="shared" si="6"/>
        <v>28.622600926538716</v>
      </c>
      <c r="S23" s="6">
        <f t="shared" si="7"/>
        <v>28.6</v>
      </c>
      <c r="T23" s="6">
        <f t="shared" si="8"/>
        <v>114.4</v>
      </c>
      <c r="U23" s="14" t="s">
        <v>131</v>
      </c>
      <c r="V23" s="2"/>
      <c r="W23" s="2"/>
      <c r="X23" s="2"/>
      <c r="Y23" s="2"/>
      <c r="Z23" s="2"/>
      <c r="AA23" s="2"/>
      <c r="AB23" s="2"/>
    </row>
    <row r="24" spans="1:28" ht="18.75" x14ac:dyDescent="0.3">
      <c r="A24" s="2" t="s">
        <v>37</v>
      </c>
      <c r="B24" s="2" t="s">
        <v>87</v>
      </c>
      <c r="C24" s="15"/>
      <c r="D24" s="10"/>
      <c r="E24" s="6">
        <v>57.9</v>
      </c>
      <c r="F24" s="11">
        <v>2</v>
      </c>
      <c r="G24" s="6">
        <f t="shared" si="0"/>
        <v>115.8</v>
      </c>
      <c r="H24" s="6">
        <v>5</v>
      </c>
      <c r="I24" s="6">
        <f t="shared" si="1"/>
        <v>0</v>
      </c>
      <c r="J24" s="6">
        <f t="shared" si="2"/>
        <v>120.8</v>
      </c>
      <c r="K24" s="6">
        <f t="shared" si="9"/>
        <v>159.89410986101919</v>
      </c>
      <c r="L24" s="12">
        <f t="shared" si="10"/>
        <v>6.1755754966660581E-3</v>
      </c>
      <c r="M24" s="6">
        <f t="shared" si="3"/>
        <v>15.109993381866314</v>
      </c>
      <c r="N24" s="4">
        <v>0.15</v>
      </c>
      <c r="O24" s="6">
        <f t="shared" si="4"/>
        <v>23.984116479152878</v>
      </c>
      <c r="P24" s="6">
        <v>5</v>
      </c>
      <c r="Q24" s="6">
        <f t="shared" si="5"/>
        <v>164.89410986101919</v>
      </c>
      <c r="R24" s="6">
        <f t="shared" si="6"/>
        <v>82.447054930509594</v>
      </c>
      <c r="S24" s="6">
        <f t="shared" si="7"/>
        <v>82.45</v>
      </c>
      <c r="T24" s="6">
        <f t="shared" si="8"/>
        <v>164.9</v>
      </c>
      <c r="U24" s="14" t="s">
        <v>132</v>
      </c>
      <c r="V24" s="2"/>
      <c r="W24" s="2"/>
      <c r="X24" s="2"/>
      <c r="Y24" s="2"/>
      <c r="Z24" s="2"/>
      <c r="AA24" s="2"/>
      <c r="AB24" s="2"/>
    </row>
    <row r="25" spans="1:28" ht="18.75" customHeight="1" x14ac:dyDescent="0.3">
      <c r="A25" s="2" t="s">
        <v>38</v>
      </c>
      <c r="B25" s="2" t="s">
        <v>88</v>
      </c>
      <c r="C25" s="2"/>
      <c r="D25" s="10"/>
      <c r="E25" s="6">
        <v>31</v>
      </c>
      <c r="F25" s="11">
        <v>2</v>
      </c>
      <c r="G25" s="6">
        <f t="shared" si="0"/>
        <v>62</v>
      </c>
      <c r="H25" s="6">
        <v>5</v>
      </c>
      <c r="I25" s="6">
        <f t="shared" si="1"/>
        <v>0</v>
      </c>
      <c r="J25" s="6">
        <f t="shared" si="2"/>
        <v>67</v>
      </c>
      <c r="K25" s="6">
        <f t="shared" si="9"/>
        <v>88.682991396426218</v>
      </c>
      <c r="L25" s="12">
        <f t="shared" si="10"/>
        <v>3.4251950188462412E-3</v>
      </c>
      <c r="M25" s="6">
        <f t="shared" si="3"/>
        <v>8.3805426869622774</v>
      </c>
      <c r="N25" s="4">
        <v>0.15</v>
      </c>
      <c r="O25" s="6">
        <f t="shared" si="4"/>
        <v>13.302448709463933</v>
      </c>
      <c r="P25" s="6">
        <v>5</v>
      </c>
      <c r="Q25" s="6">
        <f t="shared" si="5"/>
        <v>93.682991396426203</v>
      </c>
      <c r="R25" s="6">
        <f t="shared" si="6"/>
        <v>46.841495698213102</v>
      </c>
      <c r="S25" s="6">
        <f t="shared" si="7"/>
        <v>46.85</v>
      </c>
      <c r="T25" s="6">
        <f t="shared" si="8"/>
        <v>93.7</v>
      </c>
      <c r="U25" s="13" t="s">
        <v>133</v>
      </c>
      <c r="V25" s="2"/>
      <c r="W25" s="2"/>
      <c r="X25" s="2"/>
      <c r="Y25" s="2"/>
      <c r="Z25" s="2"/>
      <c r="AA25" s="2"/>
      <c r="AB25" s="2"/>
    </row>
    <row r="26" spans="1:28" ht="18.75" customHeight="1" x14ac:dyDescent="0.3">
      <c r="A26" s="2" t="s">
        <v>39</v>
      </c>
      <c r="B26" s="2" t="s">
        <v>89</v>
      </c>
      <c r="C26" s="2"/>
      <c r="D26" s="10"/>
      <c r="E26" s="6">
        <v>68.489999999999995</v>
      </c>
      <c r="F26" s="11">
        <v>3</v>
      </c>
      <c r="G26" s="6">
        <f t="shared" si="0"/>
        <v>205.46999999999997</v>
      </c>
      <c r="H26" s="6">
        <v>5</v>
      </c>
      <c r="I26" s="6">
        <f t="shared" si="1"/>
        <v>0</v>
      </c>
      <c r="J26" s="6">
        <f t="shared" si="2"/>
        <v>210.46999999999997</v>
      </c>
      <c r="K26" s="6">
        <f t="shared" si="9"/>
        <v>278.58371939113169</v>
      </c>
      <c r="L26" s="12">
        <f t="shared" si="10"/>
        <v>1.0759713367411468E-2</v>
      </c>
      <c r="M26" s="6">
        <f t="shared" si="3"/>
        <v>26.326161482461945</v>
      </c>
      <c r="N26" s="4">
        <v>0.15</v>
      </c>
      <c r="O26" s="6">
        <f t="shared" si="4"/>
        <v>41.787557908669754</v>
      </c>
      <c r="P26" s="6">
        <v>5</v>
      </c>
      <c r="Q26" s="6">
        <f t="shared" si="5"/>
        <v>283.58371939113169</v>
      </c>
      <c r="R26" s="6">
        <f t="shared" si="6"/>
        <v>94.527906463710565</v>
      </c>
      <c r="S26" s="6">
        <f t="shared" si="7"/>
        <v>94.550000000000011</v>
      </c>
      <c r="T26" s="6">
        <f t="shared" si="8"/>
        <v>283.65000000000003</v>
      </c>
      <c r="U26" s="14" t="s">
        <v>134</v>
      </c>
      <c r="V26" s="14"/>
      <c r="W26" s="2"/>
      <c r="X26" s="2"/>
      <c r="Y26" s="2"/>
      <c r="Z26" s="2"/>
      <c r="AA26" s="2"/>
      <c r="AB26" s="2"/>
    </row>
    <row r="27" spans="1:28" ht="18.75" x14ac:dyDescent="0.3">
      <c r="A27" s="2" t="s">
        <v>40</v>
      </c>
      <c r="B27" s="2" t="s">
        <v>90</v>
      </c>
      <c r="C27" s="15"/>
      <c r="D27" s="10"/>
      <c r="E27" s="6">
        <v>25.99</v>
      </c>
      <c r="F27" s="11">
        <v>2</v>
      </c>
      <c r="G27" s="6">
        <f t="shared" si="0"/>
        <v>51.98</v>
      </c>
      <c r="H27" s="6">
        <v>5</v>
      </c>
      <c r="I27" s="6">
        <f t="shared" si="1"/>
        <v>0</v>
      </c>
      <c r="J27" s="6">
        <f t="shared" si="2"/>
        <v>56.98</v>
      </c>
      <c r="K27" s="6">
        <f t="shared" si="9"/>
        <v>75.420251489080087</v>
      </c>
      <c r="L27" s="12">
        <f t="shared" si="10"/>
        <v>2.912949435430729E-3</v>
      </c>
      <c r="M27" s="6">
        <f t="shared" si="3"/>
        <v>7.1272137657180679</v>
      </c>
      <c r="N27" s="4">
        <v>0.15</v>
      </c>
      <c r="O27" s="6">
        <f t="shared" si="4"/>
        <v>11.313037723362013</v>
      </c>
      <c r="P27" s="6">
        <v>5</v>
      </c>
      <c r="Q27" s="6">
        <f t="shared" si="5"/>
        <v>80.420251489080073</v>
      </c>
      <c r="R27" s="6">
        <f t="shared" si="6"/>
        <v>40.210125744540036</v>
      </c>
      <c r="S27" s="6">
        <f t="shared" si="7"/>
        <v>40.200000000000003</v>
      </c>
      <c r="T27" s="6">
        <f t="shared" si="8"/>
        <v>80.400000000000006</v>
      </c>
      <c r="U27" s="14" t="s">
        <v>135</v>
      </c>
      <c r="V27" s="2"/>
      <c r="W27" s="2"/>
      <c r="X27" s="2"/>
      <c r="Y27" s="2"/>
      <c r="Z27" s="2"/>
      <c r="AA27" s="2"/>
      <c r="AB27" s="2"/>
    </row>
    <row r="28" spans="1:28" ht="18.75" x14ac:dyDescent="0.3">
      <c r="A28" s="2" t="s">
        <v>41</v>
      </c>
      <c r="B28" s="2" t="s">
        <v>91</v>
      </c>
      <c r="C28" s="15"/>
      <c r="D28" s="10"/>
      <c r="E28" s="6">
        <v>35.49</v>
      </c>
      <c r="F28" s="11">
        <v>5</v>
      </c>
      <c r="G28" s="6">
        <f t="shared" si="0"/>
        <v>177.45000000000002</v>
      </c>
      <c r="H28" s="6">
        <v>5</v>
      </c>
      <c r="I28" s="6">
        <f t="shared" si="1"/>
        <v>0</v>
      </c>
      <c r="J28" s="6">
        <f t="shared" si="2"/>
        <v>182.45000000000002</v>
      </c>
      <c r="K28" s="6">
        <f t="shared" si="9"/>
        <v>241.49569821310394</v>
      </c>
      <c r="L28" s="12">
        <f t="shared" si="10"/>
        <v>9.3272661371417431E-3</v>
      </c>
      <c r="M28" s="6">
        <f t="shared" si="3"/>
        <v>22.821343481138321</v>
      </c>
      <c r="N28" s="4">
        <v>0.15</v>
      </c>
      <c r="O28" s="6">
        <f t="shared" si="4"/>
        <v>36.22435473196559</v>
      </c>
      <c r="P28" s="6">
        <v>5</v>
      </c>
      <c r="Q28" s="6">
        <f t="shared" si="5"/>
        <v>246.49569821310394</v>
      </c>
      <c r="R28" s="6">
        <f t="shared" si="6"/>
        <v>49.299139642620787</v>
      </c>
      <c r="S28" s="6">
        <f t="shared" si="7"/>
        <v>49.300000000000004</v>
      </c>
      <c r="T28" s="6">
        <f t="shared" si="8"/>
        <v>246.50000000000003</v>
      </c>
      <c r="U28" s="14" t="s">
        <v>136</v>
      </c>
      <c r="V28" s="2"/>
      <c r="W28" s="2"/>
      <c r="X28" s="2"/>
      <c r="Y28" s="2"/>
      <c r="Z28" s="2"/>
      <c r="AA28" s="2"/>
      <c r="AB28" s="2"/>
    </row>
    <row r="29" spans="1:28" ht="18.75" x14ac:dyDescent="0.3">
      <c r="A29" s="2" t="s">
        <v>42</v>
      </c>
      <c r="B29" s="2" t="s">
        <v>92</v>
      </c>
      <c r="C29" s="15"/>
      <c r="D29" s="10"/>
      <c r="E29" s="6">
        <v>37.93</v>
      </c>
      <c r="F29" s="11">
        <v>6</v>
      </c>
      <c r="G29" s="6">
        <f t="shared" si="0"/>
        <v>227.57999999999998</v>
      </c>
      <c r="H29" s="6">
        <v>5</v>
      </c>
      <c r="I29" s="6">
        <f t="shared" si="1"/>
        <v>0</v>
      </c>
      <c r="J29" s="6">
        <f t="shared" si="2"/>
        <v>232.57999999999998</v>
      </c>
      <c r="K29" s="6">
        <f t="shared" si="9"/>
        <v>307.84910655195233</v>
      </c>
      <c r="L29" s="12">
        <f t="shared" si="10"/>
        <v>1.1890027723630727E-2</v>
      </c>
      <c r="M29" s="6">
        <f t="shared" si="3"/>
        <v>29.091740569159494</v>
      </c>
      <c r="N29" s="4">
        <v>0.15</v>
      </c>
      <c r="O29" s="6">
        <f t="shared" si="4"/>
        <v>46.17736598279285</v>
      </c>
      <c r="P29" s="6">
        <v>5</v>
      </c>
      <c r="Q29" s="6">
        <f t="shared" si="5"/>
        <v>312.84910655195233</v>
      </c>
      <c r="R29" s="6">
        <f t="shared" si="6"/>
        <v>52.141517758658722</v>
      </c>
      <c r="S29" s="6">
        <f t="shared" si="7"/>
        <v>52.150000000000006</v>
      </c>
      <c r="T29" s="6">
        <f t="shared" si="8"/>
        <v>312.90000000000003</v>
      </c>
      <c r="U29" s="14" t="s">
        <v>137</v>
      </c>
      <c r="V29" s="2"/>
      <c r="W29" s="2"/>
      <c r="X29" s="2"/>
      <c r="Y29" s="2"/>
      <c r="Z29" s="2"/>
      <c r="AA29" s="2"/>
      <c r="AB29" s="2"/>
    </row>
    <row r="30" spans="1:28" ht="18.75" customHeight="1" x14ac:dyDescent="0.3">
      <c r="A30" s="2" t="s">
        <v>43</v>
      </c>
      <c r="B30" s="2" t="s">
        <v>93</v>
      </c>
      <c r="C30" s="2"/>
      <c r="D30" s="10"/>
      <c r="E30" s="6">
        <v>189.05</v>
      </c>
      <c r="F30" s="11">
        <v>6</v>
      </c>
      <c r="G30" s="6">
        <f t="shared" si="0"/>
        <v>1134.3000000000002</v>
      </c>
      <c r="H30" s="6">
        <v>5</v>
      </c>
      <c r="I30" s="6">
        <f t="shared" ref="I30:I55" si="11">IF(D30&lt;&gt;"",(G30+H30)*0.07,0)</f>
        <v>0</v>
      </c>
      <c r="J30" s="6">
        <f t="shared" si="2"/>
        <v>1139.3000000000002</v>
      </c>
      <c r="K30" s="6">
        <f t="shared" ref="K30:K55" si="12">J30*1/(1-$M$3-N30)</f>
        <v>1508.0079417604238</v>
      </c>
      <c r="L30" s="12">
        <f t="shared" si="10"/>
        <v>5.8243652014500345E-2</v>
      </c>
      <c r="M30" s="6">
        <f t="shared" si="3"/>
        <v>142.50675049636004</v>
      </c>
      <c r="N30" s="4">
        <v>0.15</v>
      </c>
      <c r="O30" s="6">
        <f t="shared" si="4"/>
        <v>226.20119126406357</v>
      </c>
      <c r="P30" s="6">
        <v>5</v>
      </c>
      <c r="Q30" s="6">
        <f t="shared" si="5"/>
        <v>1513.0079417604236</v>
      </c>
      <c r="R30" s="6">
        <f t="shared" si="6"/>
        <v>252.16799029340393</v>
      </c>
      <c r="S30" s="6">
        <f t="shared" si="7"/>
        <v>252.15</v>
      </c>
      <c r="T30" s="6">
        <f t="shared" si="8"/>
        <v>1512.9</v>
      </c>
      <c r="U30" s="13" t="s">
        <v>138</v>
      </c>
      <c r="V30" s="2"/>
      <c r="W30" s="2"/>
      <c r="X30" s="2"/>
      <c r="Y30" s="2"/>
      <c r="Z30" s="2"/>
      <c r="AA30" s="2"/>
      <c r="AB30" s="2"/>
    </row>
    <row r="31" spans="1:28" ht="18.75" customHeight="1" x14ac:dyDescent="0.3">
      <c r="A31" s="2" t="s">
        <v>44</v>
      </c>
      <c r="B31" s="2" t="s">
        <v>94</v>
      </c>
      <c r="C31" s="2"/>
      <c r="D31" s="10"/>
      <c r="E31" s="6">
        <v>25.87</v>
      </c>
      <c r="F31" s="11">
        <v>14</v>
      </c>
      <c r="G31" s="6">
        <f t="shared" si="0"/>
        <v>362.18</v>
      </c>
      <c r="H31" s="6">
        <v>5</v>
      </c>
      <c r="I31" s="6">
        <f t="shared" si="11"/>
        <v>0</v>
      </c>
      <c r="J31" s="6">
        <f t="shared" si="2"/>
        <v>367.18</v>
      </c>
      <c r="K31" s="6">
        <f t="shared" si="12"/>
        <v>486.00926538716084</v>
      </c>
      <c r="L31" s="12">
        <f t="shared" si="10"/>
        <v>1.8771091149551684E-2</v>
      </c>
      <c r="M31" s="6">
        <f t="shared" si="3"/>
        <v>45.927875579086702</v>
      </c>
      <c r="N31" s="4">
        <v>0.15</v>
      </c>
      <c r="O31" s="6">
        <f t="shared" si="4"/>
        <v>72.901389808074128</v>
      </c>
      <c r="P31" s="6">
        <v>5</v>
      </c>
      <c r="Q31" s="6">
        <f t="shared" si="5"/>
        <v>491.00926538716078</v>
      </c>
      <c r="R31" s="6">
        <f t="shared" si="6"/>
        <v>35.0720903847972</v>
      </c>
      <c r="S31" s="6">
        <f t="shared" si="7"/>
        <v>35.050000000000004</v>
      </c>
      <c r="T31" s="6">
        <f t="shared" si="8"/>
        <v>490.70000000000005</v>
      </c>
      <c r="U31" s="14" t="s">
        <v>140</v>
      </c>
      <c r="V31" s="14"/>
      <c r="W31" s="2"/>
      <c r="X31" s="2"/>
      <c r="Y31" s="34" t="s">
        <v>139</v>
      </c>
      <c r="Z31" s="2"/>
      <c r="AA31" s="2"/>
      <c r="AB31" s="2"/>
    </row>
    <row r="32" spans="1:28" ht="18.75" x14ac:dyDescent="0.3">
      <c r="A32" s="2" t="s">
        <v>45</v>
      </c>
      <c r="B32" s="2" t="s">
        <v>95</v>
      </c>
      <c r="C32" s="15"/>
      <c r="D32" s="10"/>
      <c r="E32" s="6">
        <v>40.64</v>
      </c>
      <c r="F32" s="11">
        <v>6</v>
      </c>
      <c r="G32" s="6">
        <f t="shared" si="0"/>
        <v>243.84</v>
      </c>
      <c r="H32" s="6">
        <v>5</v>
      </c>
      <c r="I32" s="6">
        <f t="shared" si="11"/>
        <v>0</v>
      </c>
      <c r="J32" s="6">
        <f t="shared" si="2"/>
        <v>248.84</v>
      </c>
      <c r="K32" s="6">
        <f t="shared" si="12"/>
        <v>329.37127729980148</v>
      </c>
      <c r="L32" s="12">
        <f t="shared" si="10"/>
        <v>1.2721276544622368E-2</v>
      </c>
      <c r="M32" s="6">
        <f t="shared" si="3"/>
        <v>31.125585704831241</v>
      </c>
      <c r="N32" s="4">
        <v>0.15</v>
      </c>
      <c r="O32" s="6">
        <f t="shared" si="4"/>
        <v>49.405691594970222</v>
      </c>
      <c r="P32" s="6">
        <v>5</v>
      </c>
      <c r="Q32" s="6">
        <f t="shared" si="5"/>
        <v>334.37127729980148</v>
      </c>
      <c r="R32" s="6">
        <f t="shared" si="6"/>
        <v>55.728546216633582</v>
      </c>
      <c r="S32" s="6">
        <f t="shared" si="7"/>
        <v>55.75</v>
      </c>
      <c r="T32" s="6">
        <f t="shared" si="8"/>
        <v>334.5</v>
      </c>
      <c r="U32" s="14" t="s">
        <v>141</v>
      </c>
      <c r="V32" s="2"/>
      <c r="W32" s="2"/>
      <c r="X32" s="2"/>
      <c r="Y32" s="2"/>
      <c r="Z32" s="2"/>
      <c r="AA32" s="2"/>
      <c r="AB32" s="2"/>
    </row>
    <row r="33" spans="1:28" ht="18.75" x14ac:dyDescent="0.3">
      <c r="A33" s="2" t="s">
        <v>46</v>
      </c>
      <c r="B33" s="2" t="s">
        <v>96</v>
      </c>
      <c r="C33" s="15"/>
      <c r="D33" s="10"/>
      <c r="E33" s="6">
        <v>99.9</v>
      </c>
      <c r="F33" s="11">
        <v>4</v>
      </c>
      <c r="G33" s="6">
        <f t="shared" si="0"/>
        <v>399.6</v>
      </c>
      <c r="H33" s="6">
        <v>135</v>
      </c>
      <c r="I33" s="6">
        <f t="shared" si="11"/>
        <v>0</v>
      </c>
      <c r="J33" s="6">
        <f t="shared" si="2"/>
        <v>534.6</v>
      </c>
      <c r="K33" s="6">
        <f t="shared" si="12"/>
        <v>707.61085373924561</v>
      </c>
      <c r="L33" s="12">
        <f t="shared" si="10"/>
        <v>2.7329988911570159E-2</v>
      </c>
      <c r="M33" s="6">
        <f t="shared" si="3"/>
        <v>66.869225678358717</v>
      </c>
      <c r="N33" s="4">
        <v>0.15</v>
      </c>
      <c r="O33" s="6">
        <f t="shared" si="4"/>
        <v>106.14162806088684</v>
      </c>
      <c r="P33" s="6">
        <v>5</v>
      </c>
      <c r="Q33" s="6">
        <f t="shared" si="5"/>
        <v>712.61085373924561</v>
      </c>
      <c r="R33" s="6">
        <f t="shared" si="6"/>
        <v>178.1527134348114</v>
      </c>
      <c r="S33" s="6">
        <f t="shared" si="7"/>
        <v>178.15</v>
      </c>
      <c r="T33" s="6">
        <f t="shared" si="8"/>
        <v>712.6</v>
      </c>
      <c r="U33" s="14" t="s">
        <v>142</v>
      </c>
      <c r="V33" s="2"/>
      <c r="W33" s="2"/>
      <c r="X33" s="2"/>
      <c r="Y33" s="2"/>
      <c r="Z33" s="2"/>
      <c r="AA33" s="2"/>
      <c r="AB33" s="2"/>
    </row>
    <row r="34" spans="1:28" ht="18.75" x14ac:dyDescent="0.3">
      <c r="A34" s="2" t="s">
        <v>47</v>
      </c>
      <c r="B34" s="2" t="s">
        <v>97</v>
      </c>
      <c r="C34" s="15"/>
      <c r="D34" s="10"/>
      <c r="E34" s="6">
        <v>486</v>
      </c>
      <c r="F34" s="11">
        <v>6</v>
      </c>
      <c r="G34" s="6">
        <f t="shared" si="0"/>
        <v>2916</v>
      </c>
      <c r="H34" s="6">
        <v>5</v>
      </c>
      <c r="I34" s="6">
        <f t="shared" si="11"/>
        <v>0</v>
      </c>
      <c r="J34" s="6">
        <f t="shared" si="2"/>
        <v>2921</v>
      </c>
      <c r="K34" s="6">
        <f t="shared" si="12"/>
        <v>3866.3136995367308</v>
      </c>
      <c r="L34" s="12">
        <f t="shared" si="10"/>
        <v>0.14932827835895329</v>
      </c>
      <c r="M34" s="6">
        <f t="shared" si="3"/>
        <v>365.36664460622109</v>
      </c>
      <c r="N34" s="4">
        <v>0.15</v>
      </c>
      <c r="O34" s="6">
        <f t="shared" si="4"/>
        <v>579.94705493050958</v>
      </c>
      <c r="P34" s="6">
        <v>5</v>
      </c>
      <c r="Q34" s="6">
        <f t="shared" si="5"/>
        <v>3871.3136995367308</v>
      </c>
      <c r="R34" s="6">
        <f t="shared" si="6"/>
        <v>645.21894992278851</v>
      </c>
      <c r="S34" s="6">
        <f t="shared" si="7"/>
        <v>645.20000000000005</v>
      </c>
      <c r="T34" s="6">
        <f t="shared" si="8"/>
        <v>3871.2000000000003</v>
      </c>
      <c r="U34" s="14" t="s">
        <v>173</v>
      </c>
      <c r="V34" s="2"/>
      <c r="W34" s="2"/>
      <c r="X34" s="2"/>
      <c r="Y34" s="2"/>
      <c r="Z34" s="2"/>
      <c r="AA34" s="2"/>
      <c r="AB34" s="2"/>
    </row>
    <row r="35" spans="1:28" ht="18.75" customHeight="1" x14ac:dyDescent="0.3">
      <c r="A35" s="2" t="s">
        <v>48</v>
      </c>
      <c r="B35" s="2" t="s">
        <v>98</v>
      </c>
      <c r="C35" s="2"/>
      <c r="D35" s="10"/>
      <c r="E35" s="6">
        <v>69.900000000000006</v>
      </c>
      <c r="F35" s="11">
        <v>4</v>
      </c>
      <c r="G35" s="6">
        <f t="shared" si="0"/>
        <v>279.60000000000002</v>
      </c>
      <c r="H35" s="6">
        <v>5</v>
      </c>
      <c r="I35" s="6">
        <f t="shared" si="11"/>
        <v>0</v>
      </c>
      <c r="J35" s="6">
        <f t="shared" si="2"/>
        <v>284.60000000000002</v>
      </c>
      <c r="K35" s="6">
        <f t="shared" si="12"/>
        <v>376.70416942422241</v>
      </c>
      <c r="L35" s="12">
        <f t="shared" si="10"/>
        <v>1.4549410483039408E-2</v>
      </c>
      <c r="M35" s="6">
        <f t="shared" si="3"/>
        <v>35.598544010589016</v>
      </c>
      <c r="N35" s="4">
        <v>0.15</v>
      </c>
      <c r="O35" s="6">
        <f t="shared" si="4"/>
        <v>56.505625413633361</v>
      </c>
      <c r="P35" s="6">
        <v>5</v>
      </c>
      <c r="Q35" s="6">
        <f t="shared" si="5"/>
        <v>381.70416942422241</v>
      </c>
      <c r="R35" s="6">
        <f t="shared" si="6"/>
        <v>95.426042356055603</v>
      </c>
      <c r="S35" s="6">
        <f t="shared" si="7"/>
        <v>95.45</v>
      </c>
      <c r="T35" s="6">
        <f t="shared" si="8"/>
        <v>381.8</v>
      </c>
      <c r="U35" s="13" t="s">
        <v>143</v>
      </c>
      <c r="V35" s="2"/>
      <c r="W35" s="2"/>
      <c r="X35" s="2"/>
      <c r="Y35" s="2"/>
      <c r="Z35" s="2"/>
      <c r="AA35" s="2"/>
      <c r="AB35" s="2"/>
    </row>
    <row r="36" spans="1:28" ht="18.75" customHeight="1" x14ac:dyDescent="0.3">
      <c r="A36" s="2" t="s">
        <v>49</v>
      </c>
      <c r="B36" s="2" t="s">
        <v>99</v>
      </c>
      <c r="C36" s="2"/>
      <c r="D36" s="10"/>
      <c r="E36" s="6">
        <v>3.59</v>
      </c>
      <c r="F36" s="11">
        <v>5</v>
      </c>
      <c r="G36" s="6">
        <f t="shared" si="0"/>
        <v>17.95</v>
      </c>
      <c r="H36" s="6">
        <v>5</v>
      </c>
      <c r="I36" s="6">
        <f t="shared" si="11"/>
        <v>0</v>
      </c>
      <c r="J36" s="6">
        <f t="shared" si="2"/>
        <v>22.95</v>
      </c>
      <c r="K36" s="6">
        <f t="shared" si="12"/>
        <v>30.377233620119128</v>
      </c>
      <c r="L36" s="12">
        <f t="shared" si="10"/>
        <v>1.1732570997391228E-3</v>
      </c>
      <c r="M36" s="6">
        <f t="shared" si="3"/>
        <v>2.8706485771012575</v>
      </c>
      <c r="N36" s="4">
        <v>0.15</v>
      </c>
      <c r="O36" s="6">
        <f t="shared" si="4"/>
        <v>4.5565850430178694</v>
      </c>
      <c r="P36" s="6">
        <v>5</v>
      </c>
      <c r="Q36" s="6">
        <f t="shared" si="5"/>
        <v>35.377233620119128</v>
      </c>
      <c r="R36" s="6">
        <f t="shared" si="6"/>
        <v>7.0754467240238252</v>
      </c>
      <c r="S36" s="6">
        <f t="shared" si="7"/>
        <v>7.1000000000000005</v>
      </c>
      <c r="T36" s="6">
        <f t="shared" si="8"/>
        <v>35.5</v>
      </c>
      <c r="U36" s="14" t="s">
        <v>144</v>
      </c>
      <c r="V36" s="14"/>
      <c r="W36" s="2"/>
      <c r="X36" s="2"/>
      <c r="Y36" s="2"/>
      <c r="Z36" s="2"/>
      <c r="AA36" s="2"/>
      <c r="AB36" s="2"/>
    </row>
    <row r="37" spans="1:28" ht="18.75" x14ac:dyDescent="0.3">
      <c r="A37" s="2" t="s">
        <v>50</v>
      </c>
      <c r="B37" s="2" t="s">
        <v>100</v>
      </c>
      <c r="C37" s="15"/>
      <c r="D37" s="10"/>
      <c r="E37" s="6">
        <v>13.99</v>
      </c>
      <c r="F37" s="11">
        <v>3</v>
      </c>
      <c r="G37" s="6">
        <f t="shared" si="0"/>
        <v>41.97</v>
      </c>
      <c r="H37" s="6">
        <v>5</v>
      </c>
      <c r="I37" s="6">
        <f t="shared" si="11"/>
        <v>0</v>
      </c>
      <c r="J37" s="6">
        <f t="shared" si="2"/>
        <v>46.97</v>
      </c>
      <c r="K37" s="6">
        <f t="shared" si="12"/>
        <v>62.170747849106554</v>
      </c>
      <c r="L37" s="12">
        <f t="shared" si="10"/>
        <v>2.4012150751523574E-3</v>
      </c>
      <c r="M37" s="6">
        <f t="shared" si="3"/>
        <v>5.8751356717405692</v>
      </c>
      <c r="N37" s="4">
        <v>0.15</v>
      </c>
      <c r="O37" s="6">
        <f t="shared" si="4"/>
        <v>9.3256121773659828</v>
      </c>
      <c r="P37" s="6">
        <v>5</v>
      </c>
      <c r="Q37" s="6">
        <f t="shared" si="5"/>
        <v>67.170747849106547</v>
      </c>
      <c r="R37" s="6">
        <f t="shared" si="6"/>
        <v>22.390249283035516</v>
      </c>
      <c r="S37" s="6">
        <f t="shared" si="7"/>
        <v>22.400000000000002</v>
      </c>
      <c r="T37" s="6">
        <f t="shared" si="8"/>
        <v>67.2</v>
      </c>
      <c r="U37" s="14" t="s">
        <v>145</v>
      </c>
      <c r="V37" s="2"/>
      <c r="W37" s="2"/>
      <c r="X37" s="2"/>
      <c r="Y37" s="2"/>
      <c r="Z37" s="2"/>
      <c r="AA37" s="2"/>
      <c r="AB37" s="2"/>
    </row>
    <row r="38" spans="1:28" ht="18.75" x14ac:dyDescent="0.3">
      <c r="A38" s="2" t="s">
        <v>51</v>
      </c>
      <c r="B38" s="2" t="s">
        <v>101</v>
      </c>
      <c r="C38" s="15"/>
      <c r="D38" s="10"/>
      <c r="E38" s="6">
        <v>6.8</v>
      </c>
      <c r="F38" s="11">
        <v>20</v>
      </c>
      <c r="G38" s="6">
        <f t="shared" si="0"/>
        <v>136</v>
      </c>
      <c r="H38" s="6">
        <v>5</v>
      </c>
      <c r="I38" s="6">
        <f t="shared" si="11"/>
        <v>0</v>
      </c>
      <c r="J38" s="6">
        <f t="shared" si="2"/>
        <v>141</v>
      </c>
      <c r="K38" s="6">
        <f t="shared" si="12"/>
        <v>186.63136995367307</v>
      </c>
      <c r="L38" s="12">
        <f t="shared" si="10"/>
        <v>7.2082462336913429E-3</v>
      </c>
      <c r="M38" s="6">
        <f t="shared" si="3"/>
        <v>17.636664460622104</v>
      </c>
      <c r="N38" s="4">
        <v>0.15</v>
      </c>
      <c r="O38" s="6">
        <f t="shared" si="4"/>
        <v>27.994705493050962</v>
      </c>
      <c r="P38" s="6">
        <v>5</v>
      </c>
      <c r="Q38" s="6">
        <f t="shared" si="5"/>
        <v>191.63136995367307</v>
      </c>
      <c r="R38" s="6">
        <f t="shared" si="6"/>
        <v>9.5815684976836533</v>
      </c>
      <c r="S38" s="6">
        <f t="shared" si="7"/>
        <v>9.6000000000000014</v>
      </c>
      <c r="T38" s="6">
        <f t="shared" si="8"/>
        <v>192.00000000000003</v>
      </c>
      <c r="U38" s="14" t="s">
        <v>146</v>
      </c>
      <c r="V38" s="2"/>
      <c r="W38" s="2"/>
      <c r="X38" s="2"/>
      <c r="Y38" s="2"/>
      <c r="Z38" s="2"/>
      <c r="AA38" s="2"/>
      <c r="AB38" s="2"/>
    </row>
    <row r="39" spans="1:28" ht="18.75" x14ac:dyDescent="0.3">
      <c r="A39" s="2" t="s">
        <v>52</v>
      </c>
      <c r="B39" s="2" t="s">
        <v>102</v>
      </c>
      <c r="C39" s="15"/>
      <c r="D39" s="10"/>
      <c r="E39" s="6">
        <v>35.4</v>
      </c>
      <c r="F39" s="11">
        <v>10</v>
      </c>
      <c r="G39" s="6">
        <f t="shared" si="0"/>
        <v>354</v>
      </c>
      <c r="H39" s="6">
        <v>5</v>
      </c>
      <c r="I39" s="6">
        <f t="shared" si="11"/>
        <v>0</v>
      </c>
      <c r="J39" s="6">
        <f t="shared" si="2"/>
        <v>359</v>
      </c>
      <c r="K39" s="6">
        <f t="shared" si="12"/>
        <v>475.18199867637327</v>
      </c>
      <c r="L39" s="12">
        <f t="shared" si="10"/>
        <v>1.8352910623370158E-2</v>
      </c>
      <c r="M39" s="6">
        <f t="shared" si="3"/>
        <v>44.904698874917273</v>
      </c>
      <c r="N39" s="4">
        <v>0.15</v>
      </c>
      <c r="O39" s="6">
        <f t="shared" si="4"/>
        <v>71.277299801455982</v>
      </c>
      <c r="P39" s="6">
        <v>5</v>
      </c>
      <c r="Q39" s="6">
        <f t="shared" si="5"/>
        <v>480.18199867637321</v>
      </c>
      <c r="R39" s="6">
        <f t="shared" si="6"/>
        <v>48.018199867637321</v>
      </c>
      <c r="S39" s="6">
        <f t="shared" si="7"/>
        <v>48</v>
      </c>
      <c r="T39" s="6">
        <f t="shared" si="8"/>
        <v>480</v>
      </c>
      <c r="U39" s="14" t="s">
        <v>147</v>
      </c>
      <c r="V39" s="2"/>
      <c r="W39" s="2"/>
      <c r="X39" s="2"/>
      <c r="Y39" s="2"/>
      <c r="Z39" s="2"/>
      <c r="AA39" s="2"/>
      <c r="AB39" s="2"/>
    </row>
    <row r="40" spans="1:28" ht="18.75" customHeight="1" x14ac:dyDescent="0.3">
      <c r="A40" s="2" t="s">
        <v>53</v>
      </c>
      <c r="B40" s="2" t="s">
        <v>103</v>
      </c>
      <c r="C40" s="2"/>
      <c r="D40" s="10"/>
      <c r="E40" s="6">
        <v>9.11</v>
      </c>
      <c r="F40" s="11">
        <v>5</v>
      </c>
      <c r="G40" s="6">
        <f t="shared" si="0"/>
        <v>45.55</v>
      </c>
      <c r="H40" s="6">
        <v>5</v>
      </c>
      <c r="I40" s="6">
        <f t="shared" si="11"/>
        <v>0</v>
      </c>
      <c r="J40" s="6">
        <f t="shared" si="2"/>
        <v>50.55</v>
      </c>
      <c r="K40" s="6">
        <f t="shared" si="12"/>
        <v>66.909331568497691</v>
      </c>
      <c r="L40" s="12">
        <f t="shared" si="10"/>
        <v>2.5842329582489178E-3</v>
      </c>
      <c r="M40" s="6">
        <f t="shared" si="3"/>
        <v>6.3229318332230315</v>
      </c>
      <c r="N40" s="4">
        <v>0.15</v>
      </c>
      <c r="O40" s="6">
        <f t="shared" si="4"/>
        <v>10.036399735274653</v>
      </c>
      <c r="P40" s="6">
        <v>5</v>
      </c>
      <c r="Q40" s="6">
        <f t="shared" si="5"/>
        <v>71.909331568497677</v>
      </c>
      <c r="R40" s="6">
        <f t="shared" si="6"/>
        <v>14.381866313699536</v>
      </c>
      <c r="S40" s="6">
        <f t="shared" si="7"/>
        <v>14.4</v>
      </c>
      <c r="T40" s="6">
        <f t="shared" si="8"/>
        <v>72</v>
      </c>
      <c r="U40" s="13" t="s">
        <v>148</v>
      </c>
      <c r="V40" s="2"/>
      <c r="W40" s="2"/>
      <c r="X40" s="2"/>
      <c r="Y40" s="2"/>
      <c r="Z40" s="2"/>
      <c r="AA40" s="2"/>
      <c r="AB40" s="2"/>
    </row>
    <row r="41" spans="1:28" ht="18.75" customHeight="1" x14ac:dyDescent="0.3">
      <c r="A41" s="2" t="s">
        <v>54</v>
      </c>
      <c r="B41" s="2" t="s">
        <v>104</v>
      </c>
      <c r="C41" s="2"/>
      <c r="D41" s="10"/>
      <c r="E41" s="6">
        <v>13</v>
      </c>
      <c r="F41" s="11">
        <v>50</v>
      </c>
      <c r="G41" s="6">
        <f t="shared" si="0"/>
        <v>650</v>
      </c>
      <c r="H41" s="6">
        <v>5</v>
      </c>
      <c r="I41" s="6">
        <f t="shared" si="11"/>
        <v>0</v>
      </c>
      <c r="J41" s="6">
        <f t="shared" si="2"/>
        <v>655</v>
      </c>
      <c r="K41" s="6">
        <f t="shared" si="12"/>
        <v>866.9755129053608</v>
      </c>
      <c r="L41" s="12">
        <f t="shared" si="10"/>
        <v>3.3485115482750571E-2</v>
      </c>
      <c r="M41" s="6">
        <f t="shared" si="3"/>
        <v>81.929185969556599</v>
      </c>
      <c r="N41" s="4">
        <v>0.15</v>
      </c>
      <c r="O41" s="6">
        <f t="shared" si="4"/>
        <v>130.0463269358041</v>
      </c>
      <c r="P41" s="6">
        <v>5</v>
      </c>
      <c r="Q41" s="6">
        <f t="shared" si="5"/>
        <v>871.97551290536069</v>
      </c>
      <c r="R41" s="6">
        <f t="shared" si="6"/>
        <v>17.439510258107212</v>
      </c>
      <c r="S41" s="6">
        <f t="shared" si="7"/>
        <v>17.45</v>
      </c>
      <c r="T41" s="6">
        <f t="shared" si="8"/>
        <v>872.5</v>
      </c>
      <c r="U41" s="14" t="s">
        <v>149</v>
      </c>
      <c r="V41" s="14"/>
      <c r="W41" s="2"/>
      <c r="X41" s="2"/>
      <c r="Y41" s="2"/>
      <c r="Z41" s="2"/>
      <c r="AA41" s="2"/>
      <c r="AB41" s="2"/>
    </row>
    <row r="42" spans="1:28" ht="18.75" x14ac:dyDescent="0.3">
      <c r="A42" s="33" t="s">
        <v>55</v>
      </c>
      <c r="B42" s="2" t="s">
        <v>105</v>
      </c>
      <c r="C42" s="15"/>
      <c r="D42" s="10"/>
      <c r="E42" s="6">
        <v>5.6</v>
      </c>
      <c r="F42" s="11">
        <v>40</v>
      </c>
      <c r="G42" s="6">
        <f t="shared" si="0"/>
        <v>224</v>
      </c>
      <c r="H42" s="6">
        <v>5</v>
      </c>
      <c r="I42" s="6">
        <f t="shared" si="11"/>
        <v>0</v>
      </c>
      <c r="J42" s="6">
        <f t="shared" si="2"/>
        <v>229</v>
      </c>
      <c r="K42" s="6">
        <f t="shared" si="12"/>
        <v>303.11052283256123</v>
      </c>
      <c r="L42" s="12">
        <f t="shared" si="10"/>
        <v>1.1707009840534167E-2</v>
      </c>
      <c r="M42" s="6">
        <f t="shared" si="3"/>
        <v>28.643944407677036</v>
      </c>
      <c r="N42" s="4">
        <v>0.15</v>
      </c>
      <c r="O42" s="6">
        <f t="shared" si="4"/>
        <v>45.466578424884183</v>
      </c>
      <c r="P42" s="6">
        <v>5</v>
      </c>
      <c r="Q42" s="6">
        <f t="shared" si="5"/>
        <v>308.11052283256123</v>
      </c>
      <c r="R42" s="6">
        <f t="shared" si="6"/>
        <v>7.7027630708140311</v>
      </c>
      <c r="S42" s="6">
        <f t="shared" si="7"/>
        <v>7.7</v>
      </c>
      <c r="T42" s="6">
        <f t="shared" si="8"/>
        <v>308</v>
      </c>
      <c r="U42" s="14" t="s">
        <v>150</v>
      </c>
      <c r="V42" s="2"/>
      <c r="W42" s="2"/>
      <c r="X42" s="2"/>
      <c r="Y42" s="2"/>
      <c r="Z42" s="2"/>
      <c r="AA42" s="2"/>
      <c r="AB42" s="2"/>
    </row>
    <row r="43" spans="1:28" ht="18.75" x14ac:dyDescent="0.3">
      <c r="A43" s="2" t="s">
        <v>56</v>
      </c>
      <c r="B43" s="33" t="s">
        <v>106</v>
      </c>
      <c r="C43" s="15"/>
      <c r="D43" s="10"/>
      <c r="E43" s="6">
        <v>51</v>
      </c>
      <c r="F43" s="11">
        <v>30</v>
      </c>
      <c r="G43" s="6">
        <f t="shared" si="0"/>
        <v>1530</v>
      </c>
      <c r="H43" s="6">
        <v>5</v>
      </c>
      <c r="I43" s="6">
        <f t="shared" si="11"/>
        <v>0</v>
      </c>
      <c r="J43" s="6">
        <f t="shared" si="2"/>
        <v>1535</v>
      </c>
      <c r="K43" s="6">
        <f t="shared" si="12"/>
        <v>2031.7670416942424</v>
      </c>
      <c r="L43" s="12">
        <f t="shared" si="10"/>
        <v>7.8472751551178818E-2</v>
      </c>
      <c r="M43" s="6">
        <f t="shared" si="3"/>
        <v>192.0019854401059</v>
      </c>
      <c r="N43" s="4">
        <v>0.15</v>
      </c>
      <c r="O43" s="6">
        <f t="shared" si="4"/>
        <v>304.76505625413637</v>
      </c>
      <c r="P43" s="6">
        <v>5</v>
      </c>
      <c r="Q43" s="6">
        <f t="shared" si="5"/>
        <v>2036.7670416942424</v>
      </c>
      <c r="R43" s="6">
        <f t="shared" si="6"/>
        <v>67.892234723141414</v>
      </c>
      <c r="S43" s="6">
        <f t="shared" si="7"/>
        <v>67.900000000000006</v>
      </c>
      <c r="T43" s="6">
        <f t="shared" si="8"/>
        <v>2037.0000000000002</v>
      </c>
      <c r="U43" s="14" t="s">
        <v>163</v>
      </c>
      <c r="V43" s="2"/>
      <c r="W43" s="2"/>
      <c r="X43" s="2"/>
      <c r="Y43" s="2"/>
      <c r="Z43" s="2"/>
      <c r="AA43" s="2"/>
      <c r="AB43" s="2"/>
    </row>
    <row r="44" spans="1:28" ht="18.75" x14ac:dyDescent="0.3">
      <c r="A44" s="2" t="s">
        <v>57</v>
      </c>
      <c r="B44" s="33" t="s">
        <v>107</v>
      </c>
      <c r="C44" s="15"/>
      <c r="D44" s="10"/>
      <c r="E44" s="6">
        <f>48/2</f>
        <v>24</v>
      </c>
      <c r="F44" s="11">
        <v>100</v>
      </c>
      <c r="G44" s="6">
        <f t="shared" si="0"/>
        <v>2400</v>
      </c>
      <c r="H44" s="6">
        <v>5</v>
      </c>
      <c r="I44" s="6">
        <f t="shared" si="11"/>
        <v>0</v>
      </c>
      <c r="J44" s="6">
        <f t="shared" si="2"/>
        <v>2405</v>
      </c>
      <c r="K44" s="6">
        <f t="shared" si="12"/>
        <v>3183.3223031105231</v>
      </c>
      <c r="L44" s="12">
        <f t="shared" si="10"/>
        <v>0.12294916448246583</v>
      </c>
      <c r="M44" s="6">
        <f t="shared" si="3"/>
        <v>300.82395764394442</v>
      </c>
      <c r="N44" s="4">
        <v>0.15</v>
      </c>
      <c r="O44" s="6">
        <f t="shared" si="4"/>
        <v>477.49834546657843</v>
      </c>
      <c r="P44" s="6">
        <v>5</v>
      </c>
      <c r="Q44" s="6">
        <f t="shared" si="5"/>
        <v>3188.3223031105231</v>
      </c>
      <c r="R44" s="6">
        <f t="shared" si="6"/>
        <v>31.883223031105231</v>
      </c>
      <c r="S44" s="6">
        <f t="shared" si="7"/>
        <v>31.900000000000002</v>
      </c>
      <c r="T44" s="6">
        <f t="shared" si="8"/>
        <v>3190</v>
      </c>
      <c r="U44" s="14" t="s">
        <v>162</v>
      </c>
      <c r="V44" s="2"/>
      <c r="W44" s="2"/>
      <c r="X44" s="2"/>
      <c r="Y44" s="2"/>
      <c r="Z44" s="2"/>
      <c r="AA44" s="2"/>
      <c r="AB44" s="2"/>
    </row>
    <row r="45" spans="1:28" ht="18.75" customHeight="1" x14ac:dyDescent="0.3">
      <c r="A45" s="2" t="s">
        <v>58</v>
      </c>
      <c r="B45" s="33" t="s">
        <v>108</v>
      </c>
      <c r="C45" s="2"/>
      <c r="D45" s="10"/>
      <c r="E45" s="6">
        <v>59.79</v>
      </c>
      <c r="F45" s="11">
        <v>30</v>
      </c>
      <c r="G45" s="6">
        <f t="shared" si="0"/>
        <v>1793.7</v>
      </c>
      <c r="H45" s="6">
        <v>5</v>
      </c>
      <c r="I45" s="6">
        <f t="shared" si="11"/>
        <v>0</v>
      </c>
      <c r="J45" s="6">
        <f t="shared" si="2"/>
        <v>1798.7</v>
      </c>
      <c r="K45" s="6">
        <f t="shared" si="12"/>
        <v>2380.807412309729</v>
      </c>
      <c r="L45" s="12">
        <f t="shared" si="10"/>
        <v>9.1953705677593048E-2</v>
      </c>
      <c r="M45" s="6">
        <f t="shared" si="3"/>
        <v>224.9863004632694</v>
      </c>
      <c r="N45" s="4">
        <v>0.15</v>
      </c>
      <c r="O45" s="6">
        <f t="shared" si="4"/>
        <v>357.12111184645931</v>
      </c>
      <c r="P45" s="6">
        <v>5</v>
      </c>
      <c r="Q45" s="6">
        <f t="shared" si="5"/>
        <v>2385.8074123097285</v>
      </c>
      <c r="R45" s="6">
        <f t="shared" si="6"/>
        <v>79.526913743657616</v>
      </c>
      <c r="S45" s="6">
        <f t="shared" si="7"/>
        <v>79.550000000000011</v>
      </c>
      <c r="T45" s="6">
        <f t="shared" si="8"/>
        <v>2386.5000000000005</v>
      </c>
      <c r="U45" s="13" t="s">
        <v>161</v>
      </c>
      <c r="V45" s="2"/>
      <c r="W45" s="2"/>
      <c r="X45" s="2"/>
      <c r="Y45" s="2"/>
      <c r="Z45" s="2"/>
      <c r="AA45" s="2"/>
      <c r="AB45" s="2"/>
    </row>
    <row r="46" spans="1:28" ht="18.75" customHeight="1" x14ac:dyDescent="0.3">
      <c r="A46" s="2" t="s">
        <v>59</v>
      </c>
      <c r="B46" s="2" t="s">
        <v>109</v>
      </c>
      <c r="C46" s="2"/>
      <c r="D46" s="10"/>
      <c r="E46" s="6">
        <v>2.8</v>
      </c>
      <c r="F46" s="11">
        <v>40</v>
      </c>
      <c r="G46" s="6">
        <f t="shared" si="0"/>
        <v>112</v>
      </c>
      <c r="H46" s="6">
        <v>5</v>
      </c>
      <c r="I46" s="6">
        <f t="shared" si="11"/>
        <v>0</v>
      </c>
      <c r="J46" s="6">
        <f t="shared" si="2"/>
        <v>117</v>
      </c>
      <c r="K46" s="6">
        <f t="shared" si="12"/>
        <v>154.86432825943086</v>
      </c>
      <c r="L46" s="12">
        <f t="shared" si="10"/>
        <v>5.9813107045523922E-3</v>
      </c>
      <c r="M46" s="6">
        <f t="shared" si="3"/>
        <v>14.634679020516216</v>
      </c>
      <c r="N46" s="4">
        <v>0.15</v>
      </c>
      <c r="O46" s="6">
        <f t="shared" si="4"/>
        <v>23.229649238914629</v>
      </c>
      <c r="P46" s="6">
        <v>5</v>
      </c>
      <c r="Q46" s="6">
        <f t="shared" si="5"/>
        <v>159.86432825943083</v>
      </c>
      <c r="R46" s="6">
        <f t="shared" si="6"/>
        <v>3.9966082064857709</v>
      </c>
      <c r="S46" s="6">
        <f t="shared" si="7"/>
        <v>4</v>
      </c>
      <c r="T46" s="6">
        <f t="shared" si="8"/>
        <v>160</v>
      </c>
      <c r="U46" s="14" t="s">
        <v>160</v>
      </c>
      <c r="V46" s="14"/>
      <c r="W46" s="2"/>
      <c r="X46" s="2"/>
      <c r="Y46" s="2"/>
      <c r="Z46" s="2"/>
      <c r="AA46" s="2"/>
      <c r="AB46" s="2"/>
    </row>
    <row r="47" spans="1:28" ht="18.75" x14ac:dyDescent="0.3">
      <c r="A47" s="2" t="s">
        <v>60</v>
      </c>
      <c r="B47" s="2" t="s">
        <v>110</v>
      </c>
      <c r="C47" s="15"/>
      <c r="D47" s="10"/>
      <c r="E47" s="6">
        <v>2.5</v>
      </c>
      <c r="F47" s="11">
        <v>40</v>
      </c>
      <c r="G47" s="6">
        <f t="shared" si="0"/>
        <v>100</v>
      </c>
      <c r="H47" s="6">
        <v>5</v>
      </c>
      <c r="I47" s="6">
        <f t="shared" si="11"/>
        <v>0</v>
      </c>
      <c r="J47" s="6">
        <f t="shared" si="2"/>
        <v>105</v>
      </c>
      <c r="K47" s="6">
        <f t="shared" si="12"/>
        <v>138.98080741230973</v>
      </c>
      <c r="L47" s="12">
        <f t="shared" si="10"/>
        <v>5.3678429399829147E-3</v>
      </c>
      <c r="M47" s="6">
        <f t="shared" si="3"/>
        <v>13.133686300463269</v>
      </c>
      <c r="N47" s="4">
        <v>0.15</v>
      </c>
      <c r="O47" s="6">
        <f t="shared" si="4"/>
        <v>20.847121111846459</v>
      </c>
      <c r="P47" s="6">
        <v>5</v>
      </c>
      <c r="Q47" s="6">
        <f t="shared" si="5"/>
        <v>143.98080741230973</v>
      </c>
      <c r="R47" s="6">
        <f t="shared" si="6"/>
        <v>3.5995201853077434</v>
      </c>
      <c r="S47" s="6">
        <f t="shared" si="7"/>
        <v>3.6</v>
      </c>
      <c r="T47" s="6">
        <f t="shared" si="8"/>
        <v>144</v>
      </c>
      <c r="U47" s="14" t="s">
        <v>159</v>
      </c>
      <c r="V47" s="2"/>
      <c r="W47" s="2"/>
      <c r="X47" s="2"/>
      <c r="Y47" s="2"/>
      <c r="Z47" s="2"/>
      <c r="AA47" s="2"/>
      <c r="AB47" s="2"/>
    </row>
    <row r="48" spans="1:28" ht="18.75" x14ac:dyDescent="0.3">
      <c r="A48" s="2" t="s">
        <v>61</v>
      </c>
      <c r="B48" s="2" t="s">
        <v>111</v>
      </c>
      <c r="C48" s="15"/>
      <c r="D48" s="10"/>
      <c r="E48" s="6">
        <v>10</v>
      </c>
      <c r="F48" s="11">
        <v>20</v>
      </c>
      <c r="G48" s="6">
        <f t="shared" si="0"/>
        <v>200</v>
      </c>
      <c r="H48" s="6">
        <v>5</v>
      </c>
      <c r="I48" s="6">
        <f t="shared" si="11"/>
        <v>0</v>
      </c>
      <c r="J48" s="6">
        <f t="shared" si="2"/>
        <v>205</v>
      </c>
      <c r="K48" s="6">
        <f t="shared" si="12"/>
        <v>271.34348113831902</v>
      </c>
      <c r="L48" s="12">
        <f t="shared" si="10"/>
        <v>1.0480074311395216E-2</v>
      </c>
      <c r="M48" s="6">
        <f t="shared" si="3"/>
        <v>25.641958967571149</v>
      </c>
      <c r="N48" s="4">
        <v>0.15</v>
      </c>
      <c r="O48" s="6">
        <f t="shared" si="4"/>
        <v>40.70152217074785</v>
      </c>
      <c r="P48" s="6">
        <v>5</v>
      </c>
      <c r="Q48" s="6">
        <f t="shared" si="5"/>
        <v>276.34348113831902</v>
      </c>
      <c r="R48" s="6">
        <f t="shared" si="6"/>
        <v>13.817174056915951</v>
      </c>
      <c r="S48" s="6">
        <f t="shared" si="7"/>
        <v>13.8</v>
      </c>
      <c r="T48" s="6">
        <f t="shared" si="8"/>
        <v>276</v>
      </c>
      <c r="U48" s="14" t="s">
        <v>158</v>
      </c>
      <c r="V48" s="2"/>
      <c r="W48" s="2"/>
      <c r="X48" s="2"/>
      <c r="Y48" s="2"/>
      <c r="Z48" s="2"/>
      <c r="AA48" s="2"/>
      <c r="AB48" s="2"/>
    </row>
    <row r="49" spans="1:28" ht="18.75" x14ac:dyDescent="0.3">
      <c r="A49" s="2" t="s">
        <v>62</v>
      </c>
      <c r="B49" s="2" t="s">
        <v>112</v>
      </c>
      <c r="C49" s="15"/>
      <c r="D49" s="10"/>
      <c r="E49" s="6">
        <v>48.7</v>
      </c>
      <c r="F49" s="11">
        <v>4</v>
      </c>
      <c r="G49" s="6">
        <f t="shared" si="0"/>
        <v>194.8</v>
      </c>
      <c r="H49" s="6">
        <v>5</v>
      </c>
      <c r="I49" s="6">
        <f t="shared" si="11"/>
        <v>0</v>
      </c>
      <c r="J49" s="6">
        <f t="shared" si="2"/>
        <v>199.8</v>
      </c>
      <c r="K49" s="6">
        <f t="shared" si="12"/>
        <v>264.46062210456654</v>
      </c>
      <c r="L49" s="12">
        <f t="shared" si="10"/>
        <v>1.0214238280081776E-2</v>
      </c>
      <c r="M49" s="6">
        <f t="shared" si="3"/>
        <v>24.991528788881539</v>
      </c>
      <c r="N49" s="4">
        <v>0.15</v>
      </c>
      <c r="O49" s="6">
        <f t="shared" si="4"/>
        <v>39.669093315684982</v>
      </c>
      <c r="P49" s="6">
        <v>5</v>
      </c>
      <c r="Q49" s="6">
        <f t="shared" si="5"/>
        <v>269.46062210456654</v>
      </c>
      <c r="R49" s="6">
        <f t="shared" si="6"/>
        <v>67.365155526141635</v>
      </c>
      <c r="S49" s="6">
        <f t="shared" si="7"/>
        <v>67.350000000000009</v>
      </c>
      <c r="T49" s="6">
        <f t="shared" si="8"/>
        <v>269.40000000000003</v>
      </c>
      <c r="U49" s="14" t="s">
        <v>157</v>
      </c>
      <c r="V49" s="2"/>
      <c r="W49" s="2"/>
      <c r="X49" s="2"/>
      <c r="Y49" s="2"/>
      <c r="Z49" s="2"/>
      <c r="AA49" s="2"/>
      <c r="AB49" s="2"/>
    </row>
    <row r="50" spans="1:28" ht="18.75" customHeight="1" x14ac:dyDescent="0.3">
      <c r="A50" s="2" t="s">
        <v>63</v>
      </c>
      <c r="B50" s="2" t="s">
        <v>113</v>
      </c>
      <c r="C50" s="2"/>
      <c r="D50" s="10"/>
      <c r="E50" s="6">
        <v>19.7</v>
      </c>
      <c r="F50" s="11">
        <v>3</v>
      </c>
      <c r="G50" s="6">
        <f t="shared" si="0"/>
        <v>59.099999999999994</v>
      </c>
      <c r="H50" s="6">
        <v>140</v>
      </c>
      <c r="I50" s="6">
        <f t="shared" si="11"/>
        <v>0</v>
      </c>
      <c r="J50" s="6">
        <f t="shared" si="2"/>
        <v>199.1</v>
      </c>
      <c r="K50" s="6">
        <f t="shared" si="12"/>
        <v>263.53408338848448</v>
      </c>
      <c r="L50" s="12">
        <f t="shared" si="10"/>
        <v>1.0178452660481891E-2</v>
      </c>
      <c r="M50" s="6">
        <f t="shared" si="3"/>
        <v>24.903970880211784</v>
      </c>
      <c r="N50" s="4">
        <v>0.15</v>
      </c>
      <c r="O50" s="6">
        <f t="shared" si="4"/>
        <v>39.530112508272673</v>
      </c>
      <c r="P50" s="6">
        <v>5</v>
      </c>
      <c r="Q50" s="6">
        <f t="shared" si="5"/>
        <v>268.53408338848442</v>
      </c>
      <c r="R50" s="6">
        <f t="shared" si="6"/>
        <v>89.511361129494802</v>
      </c>
      <c r="S50" s="6">
        <f t="shared" si="7"/>
        <v>89.5</v>
      </c>
      <c r="T50" s="6">
        <f t="shared" si="8"/>
        <v>268.5</v>
      </c>
      <c r="U50" s="14" t="s">
        <v>155</v>
      </c>
      <c r="V50" s="2"/>
      <c r="W50" s="2"/>
      <c r="X50" s="2"/>
      <c r="Y50" s="2"/>
      <c r="Z50" s="2"/>
      <c r="AA50" s="2"/>
      <c r="AB50" s="2"/>
    </row>
    <row r="51" spans="1:28" ht="18.75" customHeight="1" x14ac:dyDescent="0.3">
      <c r="A51" s="2" t="s">
        <v>64</v>
      </c>
      <c r="B51" s="2" t="s">
        <v>114</v>
      </c>
      <c r="C51" s="2"/>
      <c r="D51" s="10"/>
      <c r="E51" s="6">
        <v>26.29</v>
      </c>
      <c r="F51" s="11">
        <v>4</v>
      </c>
      <c r="G51" s="6">
        <f t="shared" si="0"/>
        <v>105.16</v>
      </c>
      <c r="H51" s="6">
        <v>5</v>
      </c>
      <c r="I51" s="6">
        <f t="shared" si="11"/>
        <v>0</v>
      </c>
      <c r="J51" s="6">
        <f t="shared" si="2"/>
        <v>110.16</v>
      </c>
      <c r="K51" s="6">
        <f t="shared" si="12"/>
        <v>145.81072137657182</v>
      </c>
      <c r="L51" s="12">
        <f t="shared" si="10"/>
        <v>5.6316340787477904E-3</v>
      </c>
      <c r="M51" s="6">
        <f t="shared" si="3"/>
        <v>13.779113170086037</v>
      </c>
      <c r="N51" s="4">
        <v>0.15</v>
      </c>
      <c r="O51" s="6">
        <f t="shared" si="4"/>
        <v>21.871608206485771</v>
      </c>
      <c r="P51" s="6">
        <v>5</v>
      </c>
      <c r="Q51" s="6">
        <f t="shared" si="5"/>
        <v>150.81072137657179</v>
      </c>
      <c r="R51" s="6">
        <f t="shared" si="6"/>
        <v>37.702680344142948</v>
      </c>
      <c r="S51" s="6">
        <f t="shared" si="7"/>
        <v>37.700000000000003</v>
      </c>
      <c r="T51" s="6">
        <f t="shared" si="8"/>
        <v>150.80000000000001</v>
      </c>
      <c r="U51" s="14" t="s">
        <v>156</v>
      </c>
      <c r="V51" s="14"/>
      <c r="W51" s="2"/>
      <c r="X51" s="2"/>
      <c r="Y51" s="2"/>
      <c r="Z51" s="2"/>
      <c r="AA51" s="2"/>
      <c r="AB51" s="2"/>
    </row>
    <row r="52" spans="1:28" ht="18.75" x14ac:dyDescent="0.3">
      <c r="A52" s="2" t="s">
        <v>65</v>
      </c>
      <c r="B52" s="2" t="s">
        <v>115</v>
      </c>
      <c r="C52" s="15"/>
      <c r="D52" s="10"/>
      <c r="E52" s="6">
        <v>19.7</v>
      </c>
      <c r="F52" s="11">
        <v>3</v>
      </c>
      <c r="G52" s="6">
        <f t="shared" si="0"/>
        <v>59.099999999999994</v>
      </c>
      <c r="H52" s="6">
        <v>140</v>
      </c>
      <c r="I52" s="6">
        <f t="shared" si="11"/>
        <v>0</v>
      </c>
      <c r="J52" s="6">
        <f t="shared" si="2"/>
        <v>199.1</v>
      </c>
      <c r="K52" s="6">
        <f t="shared" si="12"/>
        <v>263.53408338848448</v>
      </c>
      <c r="L52" s="12">
        <f t="shared" si="10"/>
        <v>1.0178452660481891E-2</v>
      </c>
      <c r="M52" s="6">
        <f t="shared" si="3"/>
        <v>24.903970880211784</v>
      </c>
      <c r="N52" s="4">
        <v>0.15</v>
      </c>
      <c r="O52" s="6">
        <f t="shared" si="4"/>
        <v>39.530112508272673</v>
      </c>
      <c r="P52" s="6">
        <v>5</v>
      </c>
      <c r="Q52" s="6">
        <f t="shared" si="5"/>
        <v>268.53408338848442</v>
      </c>
      <c r="R52" s="6">
        <f t="shared" si="6"/>
        <v>89.511361129494802</v>
      </c>
      <c r="S52" s="6">
        <f t="shared" si="7"/>
        <v>89.5</v>
      </c>
      <c r="T52" s="6">
        <f t="shared" si="8"/>
        <v>268.5</v>
      </c>
      <c r="U52" s="14" t="s">
        <v>155</v>
      </c>
      <c r="V52" s="2"/>
      <c r="W52" s="2"/>
      <c r="X52" s="2"/>
      <c r="Y52" s="2"/>
      <c r="Z52" s="2"/>
      <c r="AA52" s="2"/>
      <c r="AB52" s="2"/>
    </row>
    <row r="53" spans="1:28" ht="18.75" x14ac:dyDescent="0.3">
      <c r="A53" s="2" t="s">
        <v>66</v>
      </c>
      <c r="B53" s="2" t="s">
        <v>116</v>
      </c>
      <c r="C53" s="15"/>
      <c r="D53" s="10"/>
      <c r="E53" s="6">
        <v>8.74</v>
      </c>
      <c r="F53" s="11">
        <v>4</v>
      </c>
      <c r="G53" s="6">
        <f t="shared" si="0"/>
        <v>34.96</v>
      </c>
      <c r="H53" s="6">
        <v>50</v>
      </c>
      <c r="I53" s="6">
        <f t="shared" si="11"/>
        <v>0</v>
      </c>
      <c r="J53" s="6">
        <f t="shared" si="2"/>
        <v>84.960000000000008</v>
      </c>
      <c r="K53" s="6">
        <f t="shared" si="12"/>
        <v>112.45532759761748</v>
      </c>
      <c r="L53" s="12">
        <f t="shared" si="10"/>
        <v>4.3433517731518902E-3</v>
      </c>
      <c r="M53" s="6">
        <f t="shared" si="3"/>
        <v>10.627028457974852</v>
      </c>
      <c r="N53" s="4">
        <v>0.15</v>
      </c>
      <c r="O53" s="6">
        <f t="shared" si="4"/>
        <v>16.868299139642623</v>
      </c>
      <c r="P53" s="6">
        <v>5</v>
      </c>
      <c r="Q53" s="6">
        <f t="shared" si="5"/>
        <v>117.4553275976175</v>
      </c>
      <c r="R53" s="6">
        <f t="shared" si="6"/>
        <v>29.363831899404374</v>
      </c>
      <c r="S53" s="6">
        <f t="shared" si="7"/>
        <v>29.35</v>
      </c>
      <c r="T53" s="6">
        <f t="shared" si="8"/>
        <v>117.4</v>
      </c>
      <c r="U53" s="14" t="s">
        <v>154</v>
      </c>
      <c r="V53" s="2"/>
      <c r="W53" s="2"/>
      <c r="X53" s="2"/>
      <c r="Y53" s="2"/>
      <c r="Z53" s="2"/>
      <c r="AA53" s="2"/>
      <c r="AB53" s="2"/>
    </row>
    <row r="54" spans="1:28" ht="18.75" x14ac:dyDescent="0.3">
      <c r="A54" s="2" t="s">
        <v>67</v>
      </c>
      <c r="B54" s="2" t="s">
        <v>117</v>
      </c>
      <c r="C54" s="15"/>
      <c r="D54" s="10"/>
      <c r="E54" s="6">
        <v>49.9</v>
      </c>
      <c r="F54" s="11">
        <v>2</v>
      </c>
      <c r="G54" s="6">
        <f t="shared" si="0"/>
        <v>99.8</v>
      </c>
      <c r="H54" s="6">
        <v>5</v>
      </c>
      <c r="I54" s="6">
        <f t="shared" si="11"/>
        <v>0</v>
      </c>
      <c r="J54" s="6">
        <f t="shared" si="2"/>
        <v>104.8</v>
      </c>
      <c r="K54" s="6">
        <f t="shared" si="12"/>
        <v>138.71608206485772</v>
      </c>
      <c r="L54" s="12">
        <f t="shared" si="10"/>
        <v>5.357618477240091E-3</v>
      </c>
      <c r="M54" s="6">
        <f t="shared" si="3"/>
        <v>13.108669755129053</v>
      </c>
      <c r="N54" s="4">
        <v>0.15</v>
      </c>
      <c r="O54" s="6">
        <f t="shared" si="4"/>
        <v>20.807412309728658</v>
      </c>
      <c r="P54" s="6">
        <v>5</v>
      </c>
      <c r="Q54" s="6">
        <f t="shared" si="5"/>
        <v>143.71608206485772</v>
      </c>
      <c r="R54" s="6">
        <f t="shared" si="6"/>
        <v>71.858041032428858</v>
      </c>
      <c r="S54" s="6">
        <f t="shared" si="7"/>
        <v>71.850000000000009</v>
      </c>
      <c r="T54" s="6">
        <f t="shared" si="8"/>
        <v>143.70000000000002</v>
      </c>
      <c r="U54" s="14" t="s">
        <v>152</v>
      </c>
      <c r="V54" s="2"/>
      <c r="W54" s="2" t="s">
        <v>153</v>
      </c>
      <c r="X54" s="2"/>
      <c r="Y54" s="2"/>
      <c r="Z54" s="2"/>
      <c r="AA54" s="2"/>
      <c r="AB54" s="2"/>
    </row>
    <row r="55" spans="1:28" ht="18.75" customHeight="1" x14ac:dyDescent="0.3">
      <c r="A55" s="2" t="s">
        <v>68</v>
      </c>
      <c r="B55" s="2" t="s">
        <v>118</v>
      </c>
      <c r="C55" s="2"/>
      <c r="D55" s="10"/>
      <c r="E55" s="6">
        <v>52.3</v>
      </c>
      <c r="F55" s="11">
        <v>2</v>
      </c>
      <c r="G55" s="6">
        <f t="shared" si="0"/>
        <v>104.6</v>
      </c>
      <c r="H55" s="6">
        <v>5</v>
      </c>
      <c r="I55" s="6">
        <f t="shared" si="11"/>
        <v>0</v>
      </c>
      <c r="J55" s="6">
        <f t="shared" si="2"/>
        <v>109.6</v>
      </c>
      <c r="K55" s="6">
        <f t="shared" si="12"/>
        <v>145.06949040370617</v>
      </c>
      <c r="L55" s="12">
        <f t="shared" si="10"/>
        <v>5.6030055830678816E-3</v>
      </c>
      <c r="M55" s="6">
        <f t="shared" si="3"/>
        <v>13.709066843150232</v>
      </c>
      <c r="N55" s="4">
        <v>0.15</v>
      </c>
      <c r="O55" s="6">
        <f t="shared" si="4"/>
        <v>21.760423560555925</v>
      </c>
      <c r="P55" s="6">
        <v>5</v>
      </c>
      <c r="Q55" s="6">
        <f t="shared" si="5"/>
        <v>150.06949040370614</v>
      </c>
      <c r="R55" s="6">
        <f t="shared" si="6"/>
        <v>75.03474520185307</v>
      </c>
      <c r="S55" s="6">
        <f t="shared" si="7"/>
        <v>75.05</v>
      </c>
      <c r="T55" s="6">
        <f t="shared" si="8"/>
        <v>150.1</v>
      </c>
      <c r="U55" s="13" t="s">
        <v>151</v>
      </c>
      <c r="V55" s="2"/>
      <c r="W55" s="2"/>
      <c r="X55" s="2"/>
      <c r="Y55" s="2"/>
      <c r="Z55" s="2"/>
      <c r="AA55" s="2"/>
      <c r="AB55" s="2"/>
    </row>
    <row r="56" spans="1:28" ht="18.75" customHeight="1" x14ac:dyDescent="0.3">
      <c r="A56" s="2"/>
      <c r="B56" s="2"/>
      <c r="C56" s="2"/>
      <c r="D56" s="2"/>
      <c r="E56" s="6"/>
      <c r="F56" s="2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2"/>
      <c r="V56" s="2"/>
      <c r="W56" s="2"/>
      <c r="X56" s="2"/>
      <c r="Y56" s="2"/>
      <c r="Z56" s="2"/>
      <c r="AA56" s="2"/>
      <c r="AB56" s="2"/>
    </row>
    <row r="57" spans="1:28" ht="18.75" customHeight="1" x14ac:dyDescent="0.3">
      <c r="A57" s="16" t="s">
        <v>22</v>
      </c>
      <c r="B57" s="16"/>
      <c r="C57" s="17"/>
      <c r="D57" s="17"/>
      <c r="E57" s="28">
        <f>SUM(E5:E56)</f>
        <v>3289.21</v>
      </c>
      <c r="F57" s="29"/>
      <c r="G57" s="28">
        <f>SUM(G5:G56)</f>
        <v>18833.929999999993</v>
      </c>
      <c r="H57" s="28">
        <f>SUM(H5:H56)</f>
        <v>727</v>
      </c>
      <c r="I57" s="18">
        <f t="shared" ref="I57:L57" si="13">SUM(I56:I56)</f>
        <v>0</v>
      </c>
      <c r="J57" s="30">
        <f>SUM(J5:J56)</f>
        <v>19560.929999999993</v>
      </c>
      <c r="K57" s="19">
        <f>SUM(K5:K56)</f>
        <v>25891.369953673064</v>
      </c>
      <c r="L57" s="20">
        <f t="shared" si="13"/>
        <v>0</v>
      </c>
      <c r="M57" s="30">
        <f>SUM(M5:M56)</f>
        <v>2446.734460622105</v>
      </c>
      <c r="N57" s="21"/>
      <c r="O57" s="30">
        <f>SUM(O5:O56)</f>
        <v>3883.7054930509603</v>
      </c>
      <c r="P57" s="30">
        <f>SUM(P5:P56)</f>
        <v>255</v>
      </c>
      <c r="Q57" s="30">
        <f>SUM(Q5:Q56)</f>
        <v>26146.369953673064</v>
      </c>
      <c r="R57" s="18"/>
      <c r="S57" s="18"/>
      <c r="T57" s="30">
        <f>SUM(T5:T56)</f>
        <v>26149.1</v>
      </c>
      <c r="U57" s="2"/>
      <c r="V57" s="2"/>
      <c r="W57" s="2"/>
      <c r="X57" s="2"/>
      <c r="Y57" s="2"/>
      <c r="Z57" s="2"/>
      <c r="AA57" s="2"/>
      <c r="AB57" s="2"/>
    </row>
    <row r="58" spans="1:28" ht="18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8.75" customHeight="1" x14ac:dyDescent="0.3">
      <c r="A59" s="2"/>
      <c r="B59" s="2"/>
      <c r="C59" s="2"/>
      <c r="D59" s="2"/>
      <c r="E59" s="2"/>
      <c r="F59" s="2"/>
      <c r="G59" s="6"/>
      <c r="H59" s="2"/>
      <c r="I59" s="2"/>
      <c r="J59" s="2"/>
      <c r="K59" s="2"/>
      <c r="L59" s="2"/>
      <c r="M59" s="2"/>
      <c r="N59" s="2"/>
      <c r="O59" s="2"/>
      <c r="P59" s="2"/>
      <c r="Q59" s="6"/>
      <c r="R59" s="6"/>
      <c r="S59" s="6"/>
      <c r="T59" s="6"/>
      <c r="U59" s="2"/>
      <c r="V59" s="2"/>
      <c r="W59" s="2"/>
      <c r="X59" s="2"/>
      <c r="Y59" s="2"/>
      <c r="Z59" s="2"/>
      <c r="AA59" s="2"/>
      <c r="AB59" s="2"/>
    </row>
    <row r="60" spans="1:28" ht="18.75" customHeight="1" x14ac:dyDescent="0.3">
      <c r="A60" s="2"/>
      <c r="B60" s="2"/>
      <c r="C60" s="2"/>
      <c r="D60" s="2"/>
      <c r="E60" s="6"/>
      <c r="F60" s="2"/>
      <c r="G60" s="22"/>
      <c r="H60" s="2"/>
      <c r="I60" s="6"/>
      <c r="J60" s="2"/>
      <c r="K60" s="2"/>
      <c r="L60" s="2"/>
      <c r="M60" s="2"/>
      <c r="N60" s="2"/>
      <c r="O60" s="2"/>
      <c r="P60" s="2"/>
      <c r="Q60" s="6"/>
      <c r="R60" s="6"/>
      <c r="S60" s="6"/>
      <c r="T60" s="6"/>
      <c r="U60" s="2"/>
      <c r="V60" s="2"/>
      <c r="W60" s="2"/>
      <c r="X60" s="2"/>
      <c r="Y60" s="2"/>
      <c r="Z60" s="2"/>
      <c r="AA60" s="2"/>
      <c r="AB60" s="2"/>
    </row>
    <row r="61" spans="1:28" ht="18.75" customHeight="1" x14ac:dyDescent="0.3">
      <c r="A61" s="2"/>
      <c r="B61" s="2"/>
      <c r="C61" s="2"/>
      <c r="D61" s="2"/>
      <c r="E61" s="6"/>
      <c r="F61" s="2"/>
      <c r="G61" s="2"/>
      <c r="H61" s="23"/>
      <c r="I61" s="6"/>
      <c r="J61" s="6"/>
      <c r="K61" s="2"/>
      <c r="L61" s="2"/>
      <c r="M61" s="2"/>
      <c r="N61" s="2"/>
      <c r="O61" s="2"/>
      <c r="P61" s="2"/>
      <c r="Q61" s="6"/>
      <c r="R61" s="6"/>
      <c r="S61" s="6"/>
      <c r="T61" s="6"/>
      <c r="U61" s="2"/>
      <c r="V61" s="2"/>
      <c r="W61" s="2"/>
      <c r="X61" s="2"/>
      <c r="Y61" s="2"/>
      <c r="Z61" s="2"/>
      <c r="AA61" s="2"/>
      <c r="AB61" s="2"/>
    </row>
    <row r="62" spans="1:28" ht="18.75" customHeight="1" x14ac:dyDescent="0.3">
      <c r="A62" s="2"/>
      <c r="B62" s="2"/>
      <c r="C62" s="2"/>
      <c r="D62" s="2"/>
      <c r="E62" s="6"/>
      <c r="F62" s="2"/>
      <c r="G62" s="2"/>
      <c r="H62" s="2"/>
      <c r="I62" s="6"/>
      <c r="J62" s="2"/>
      <c r="K62" s="2"/>
      <c r="L62" s="2"/>
      <c r="M62" s="2"/>
      <c r="N62" s="2"/>
      <c r="O62" s="2"/>
      <c r="P62" s="2"/>
      <c r="Q62" s="6"/>
      <c r="R62" s="6"/>
      <c r="S62" s="6"/>
      <c r="T62" s="6"/>
      <c r="U62" s="2"/>
      <c r="V62" s="2"/>
      <c r="W62" s="2"/>
      <c r="X62" s="2"/>
      <c r="Y62" s="2"/>
      <c r="Z62" s="2"/>
      <c r="AA62" s="2"/>
      <c r="AB62" s="2"/>
    </row>
    <row r="63" spans="1:28" ht="18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/>
      <c r="R63" s="6"/>
      <c r="S63" s="6"/>
      <c r="T63" s="6"/>
      <c r="U63" s="2"/>
      <c r="V63" s="2"/>
      <c r="W63" s="2"/>
      <c r="X63" s="2"/>
      <c r="Y63" s="2"/>
      <c r="Z63" s="2"/>
      <c r="AA63" s="2"/>
      <c r="AB63" s="2"/>
    </row>
    <row r="64" spans="1:28" ht="18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6"/>
      <c r="Q64" s="6"/>
      <c r="R64" s="6"/>
      <c r="S64" s="6"/>
      <c r="T64" s="6"/>
      <c r="U64" s="2"/>
      <c r="V64" s="2"/>
      <c r="W64" s="2"/>
      <c r="X64" s="2"/>
      <c r="Y64" s="2"/>
      <c r="Z64" s="2"/>
      <c r="AA64" s="2"/>
      <c r="AB64" s="2"/>
    </row>
    <row r="65" spans="1:28" ht="18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6"/>
      <c r="Q65" s="2"/>
      <c r="R65" s="6"/>
      <c r="S65" s="6"/>
      <c r="T65" s="6"/>
      <c r="U65" s="2"/>
      <c r="V65" s="2"/>
      <c r="W65" s="2"/>
      <c r="X65" s="2"/>
      <c r="Y65" s="2"/>
      <c r="Z65" s="2"/>
      <c r="AA65" s="2"/>
      <c r="AB65" s="2"/>
    </row>
    <row r="66" spans="1:28" ht="18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6"/>
      <c r="Q66" s="2"/>
      <c r="R66" s="6"/>
      <c r="S66" s="6"/>
      <c r="T66" s="6"/>
      <c r="U66" s="2"/>
      <c r="V66" s="2"/>
      <c r="W66" s="2"/>
      <c r="X66" s="2"/>
      <c r="Y66" s="2"/>
      <c r="Z66" s="2"/>
      <c r="AA66" s="2"/>
      <c r="AB66" s="2"/>
    </row>
    <row r="67" spans="1:28" ht="18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6"/>
      <c r="S67" s="6"/>
      <c r="T67" s="6"/>
      <c r="U67" s="2"/>
      <c r="V67" s="2"/>
      <c r="W67" s="2"/>
      <c r="X67" s="2"/>
      <c r="Y67" s="2"/>
      <c r="Z67" s="2"/>
      <c r="AA67" s="2"/>
      <c r="AB67" s="2"/>
    </row>
    <row r="68" spans="1:28" ht="18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6"/>
      <c r="S68" s="6"/>
      <c r="T68" s="6"/>
      <c r="U68" s="2"/>
      <c r="V68" s="2"/>
      <c r="W68" s="2"/>
      <c r="X68" s="2"/>
      <c r="Y68" s="2"/>
      <c r="Z68" s="2"/>
      <c r="AA68" s="2"/>
      <c r="AB68" s="2"/>
    </row>
    <row r="69" spans="1:28" ht="18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6"/>
      <c r="S69" s="6"/>
      <c r="T69" s="6"/>
      <c r="U69" s="2"/>
      <c r="V69" s="2"/>
      <c r="W69" s="2"/>
      <c r="X69" s="2"/>
      <c r="Y69" s="2"/>
      <c r="Z69" s="2"/>
      <c r="AA69" s="2"/>
      <c r="AB69" s="2"/>
    </row>
    <row r="70" spans="1:28" ht="18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6"/>
      <c r="S70" s="6"/>
      <c r="T70" s="6"/>
      <c r="U70" s="2"/>
      <c r="V70" s="2"/>
      <c r="W70" s="2"/>
      <c r="X70" s="2"/>
      <c r="Y70" s="2"/>
      <c r="Z70" s="2"/>
      <c r="AA70" s="2"/>
      <c r="AB70" s="2"/>
    </row>
    <row r="71" spans="1:28" ht="18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8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8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8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8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8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8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8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8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8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8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8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8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8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8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8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8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8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8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8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8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8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8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8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8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8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8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8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8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8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8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8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8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8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8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8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8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8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8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8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8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8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8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8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8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8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8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8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8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8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8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8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8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8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8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8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8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8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8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8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8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8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8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8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8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8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8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8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8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8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8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8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8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8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8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8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8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8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8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8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8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8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8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8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8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8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8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8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8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8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8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8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8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8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8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8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8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8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8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8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8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8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8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8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8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8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8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8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8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8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8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8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8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8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8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8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8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8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8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8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8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8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8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8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8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8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8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8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8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8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8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8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8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8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8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8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8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8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8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8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8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8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8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8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8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8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8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8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8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8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8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8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8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8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8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8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8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8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8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8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8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8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8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8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8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8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8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8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8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8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8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8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8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8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8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8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8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8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8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8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8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8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8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8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8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8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8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8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8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8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8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8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8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8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8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8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8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8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8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8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8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8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8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8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8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8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8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8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8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8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8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8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8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8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8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8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8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8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8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8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8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8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8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8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8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8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8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8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8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8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8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8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8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8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8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8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8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8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8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8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8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8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8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8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8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8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8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8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8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8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8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8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8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8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8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8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8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8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8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8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8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8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8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8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8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8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8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8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8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8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8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8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8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8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8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8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8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8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8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8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8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8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8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8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8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8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8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8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8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8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8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8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8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8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8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8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8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8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8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8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8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8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8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8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8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8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8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8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8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8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8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8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8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8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8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8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8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8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8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8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8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8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8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8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8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8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8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8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8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8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8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8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8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8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8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8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8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8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8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8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8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8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8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8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8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8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8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8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8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8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8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8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8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8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8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8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8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8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8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8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8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8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8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8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8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8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8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8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8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8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8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8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8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8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8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8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8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8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8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8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8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8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8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8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8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8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8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8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8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8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8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8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8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8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8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8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8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8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8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8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8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8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8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8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8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8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8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8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8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8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8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8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8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8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8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8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8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8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8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8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8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8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8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8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8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8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8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8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8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8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8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8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8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8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8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8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8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8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8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8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8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8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8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8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8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8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8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8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8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8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8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8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8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8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8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8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8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8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8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8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8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8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8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8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8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8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8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8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8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8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8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8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8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8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8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8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8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8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8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8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8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8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8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8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8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8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8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8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8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8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8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8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8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8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8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8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8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8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8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8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8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8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8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8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8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8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8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8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8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8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8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8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8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8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8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8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8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8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8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8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8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8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8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8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8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8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8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8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8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8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8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8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8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8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8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8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8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8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8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8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8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8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8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8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8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8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8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8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8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8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8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8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8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8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8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8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8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8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8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8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8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8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8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8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8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8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8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8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8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8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8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8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8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8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8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8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8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8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8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8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8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8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8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8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8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8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8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8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8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8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8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8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8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8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8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8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8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8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8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8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8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8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8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8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8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8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8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8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8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8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8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8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8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8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8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8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8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8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8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8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8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8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8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8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8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8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8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8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8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8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8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8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8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8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8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8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8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8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8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8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8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8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8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8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8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8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8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8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8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8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8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8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8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8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8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8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8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8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8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8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8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8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8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8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8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8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8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8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8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8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8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8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8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8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8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8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8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8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8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8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8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8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8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8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8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8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8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8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8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8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8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8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8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8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8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8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8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8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8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8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8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8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8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8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8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8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8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8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8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8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8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8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8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8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8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8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8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8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8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8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8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8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8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8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8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8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8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8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8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8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8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8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8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8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8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8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8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8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8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8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8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8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8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8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8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8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8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8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8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8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8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8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8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8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8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8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8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8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8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8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8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8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8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8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8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8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8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8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8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8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8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8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8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8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8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8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8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8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8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8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8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8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8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8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8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8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8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8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8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8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8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8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8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8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8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8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8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8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8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8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8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8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8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8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8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8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8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8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8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8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8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8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8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8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8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8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8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8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8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8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8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8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8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8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8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8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8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8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8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8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8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8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8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8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8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8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8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8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8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8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8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8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8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8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8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8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8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8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8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8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8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8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8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8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8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8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8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8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8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8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8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8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8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8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8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8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8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8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8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8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8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8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8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8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8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8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8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8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8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8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8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8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8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8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8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8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8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8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8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8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8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8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8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8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8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8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8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8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8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8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8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8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8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8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8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8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8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8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8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8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8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8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8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8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8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8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8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8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8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8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8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8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8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8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8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8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8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8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8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8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8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8.7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8.7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8.7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8.7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8.7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8.7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8.7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8.75" customHeigh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8.75" customHeigh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8.75" customHeigh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8.75" customHeigh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8.75" customHeigh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8.75" customHeight="1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8.75" customHeight="1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8.75" customHeight="1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8.75" customHeight="1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8.75" customHeight="1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8.75" customHeight="1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8.75" customHeight="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8.75" customHeight="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8.75" customHeight="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8.75" customHeight="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8.75" customHeight="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8.75" customHeight="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8.75" customHeight="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8.75" customHeight="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8.75" customHeight="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8.75" customHeight="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</sheetData>
  <phoneticPr fontId="12" type="noConversion"/>
  <hyperlinks>
    <hyperlink ref="V14" r:id="rId1" location="polycard_client=search-desktop&amp;be_origin=backend&amp;search_layout=grid&amp;position=21&amp;type=product&amp;tracking_id=2f4387e4-0b08-46ce-9f75-6b80e3968fae&amp;wid=MLB4087347992&amp;sid=search" display="https://www.mercadolivre.com.br/jogo-garfo-faca-inox-sobremesa-buffet--24-pecas/up/MLBU1160498306#polycard_client=search-desktop&amp;be_origin=backend&amp;search_layout=grid&amp;position=21&amp;type=product&amp;tracking_id=2f4387e4-0b08-46ce-9f75-6b80e3968fae&amp;wid=MLB4087347992&amp;sid=search" xr:uid="{2394CA62-86CA-4FAA-B919-00F87ECA42ED}"/>
    <hyperlink ref="W19" r:id="rId2" location="polycard_client=search-desktop&amp;be_origin=backend&amp;search_layout=grid&amp;position=7&amp;type=product&amp;tracking_id=bead332f-9b6d-4b95-a6c8-325948d0ed85&amp;wid=MLB5765798946&amp;sid=search" display="https://www.mercadolivre.com.br/acucareiro-aco-inox-300ml-prata-kehome-cozinha-elegante/p/MLB37901825#polycard_client=search-desktop&amp;be_origin=backend&amp;search_layout=grid&amp;position=7&amp;type=product&amp;tracking_id=bead332f-9b6d-4b95-a6c8-325948d0ed85&amp;wid=MLB5765798946&amp;sid=search" xr:uid="{238D23E1-C293-4688-B234-EF198470CAE8}"/>
  </hyperlinks>
  <pageMargins left="0.511811024" right="0.511811024" top="0.78740157499999996" bottom="0.78740157499999996" header="0" footer="0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ht="16.5" x14ac:dyDescent="0.35">
      <c r="A1" s="24">
        <v>251.35000000000002</v>
      </c>
      <c r="B1" s="24">
        <v>754.05000000000007</v>
      </c>
    </row>
    <row r="2" spans="1:6" ht="16.5" x14ac:dyDescent="0.35">
      <c r="A2" s="24">
        <v>251.35000000000002</v>
      </c>
      <c r="B2" s="24">
        <v>754.05000000000007</v>
      </c>
    </row>
    <row r="3" spans="1:6" ht="16.5" x14ac:dyDescent="0.35">
      <c r="A3" s="24">
        <v>249.5</v>
      </c>
      <c r="B3" s="24">
        <v>998</v>
      </c>
    </row>
    <row r="4" spans="1:6" ht="20.25" x14ac:dyDescent="0.5">
      <c r="A4" s="24">
        <v>305.5</v>
      </c>
      <c r="B4" s="24">
        <v>916.5</v>
      </c>
      <c r="F4" s="25"/>
    </row>
    <row r="5" spans="1:6" ht="20.25" x14ac:dyDescent="0.5">
      <c r="A5" s="24">
        <v>238</v>
      </c>
      <c r="B5" s="24">
        <v>1190</v>
      </c>
      <c r="F5" s="26"/>
    </row>
    <row r="6" spans="1:6" ht="20.25" x14ac:dyDescent="0.5">
      <c r="A6" s="24">
        <v>540</v>
      </c>
      <c r="B6" s="24">
        <v>2160</v>
      </c>
      <c r="F6" s="26"/>
    </row>
    <row r="7" spans="1:6" ht="20.25" x14ac:dyDescent="0.5">
      <c r="A7" s="24">
        <v>10.15</v>
      </c>
      <c r="B7" s="24">
        <v>2537.5</v>
      </c>
      <c r="F7" s="25"/>
    </row>
    <row r="8" spans="1:6" ht="20.25" x14ac:dyDescent="0.5">
      <c r="A8" s="24">
        <v>135.05000000000001</v>
      </c>
      <c r="B8" s="24">
        <v>540.20000000000005</v>
      </c>
      <c r="F8" s="26"/>
    </row>
    <row r="9" spans="1:6" ht="20.25" x14ac:dyDescent="0.5">
      <c r="A9" s="24">
        <v>137.80000000000001</v>
      </c>
      <c r="B9" s="24">
        <v>551.20000000000005</v>
      </c>
      <c r="F9" s="27"/>
    </row>
    <row r="10" spans="1:6" ht="20.25" x14ac:dyDescent="0.5">
      <c r="A10" s="24">
        <v>155.35000000000002</v>
      </c>
      <c r="B10" s="24">
        <v>310.70000000000005</v>
      </c>
      <c r="F10" s="26"/>
    </row>
    <row r="11" spans="1:6" ht="20.25" x14ac:dyDescent="0.5">
      <c r="A11" s="24">
        <v>150.35</v>
      </c>
      <c r="B11" s="24">
        <v>300.7</v>
      </c>
      <c r="F11" s="26"/>
    </row>
    <row r="12" spans="1:6" ht="20.25" x14ac:dyDescent="0.5">
      <c r="A12" s="24">
        <v>178.60000000000002</v>
      </c>
      <c r="B12" s="24">
        <v>357.20000000000005</v>
      </c>
      <c r="F12" s="26"/>
    </row>
    <row r="13" spans="1:6" ht="20.25" x14ac:dyDescent="0.5">
      <c r="A13" s="24">
        <v>125.25</v>
      </c>
      <c r="B13" s="24">
        <v>250.5</v>
      </c>
      <c r="F13" s="26"/>
    </row>
    <row r="14" spans="1:6" ht="20.25" x14ac:dyDescent="0.5">
      <c r="A14" s="24">
        <v>162.85000000000002</v>
      </c>
      <c r="B14" s="24">
        <v>325.70000000000005</v>
      </c>
      <c r="F14" s="26"/>
    </row>
    <row r="15" spans="1:6" ht="20.25" x14ac:dyDescent="0.5">
      <c r="A15" s="24">
        <v>173.85000000000002</v>
      </c>
      <c r="B15" s="24">
        <v>347.70000000000005</v>
      </c>
      <c r="F15" s="26"/>
    </row>
    <row r="16" spans="1:6" ht="20.25" x14ac:dyDescent="0.5">
      <c r="A16" s="24">
        <v>73.850000000000009</v>
      </c>
      <c r="B16" s="24">
        <v>738.50000000000011</v>
      </c>
      <c r="F16" s="26"/>
    </row>
    <row r="17" spans="1:6" ht="20.25" x14ac:dyDescent="0.5">
      <c r="A17" s="24">
        <v>32.1</v>
      </c>
      <c r="B17" s="24">
        <v>321</v>
      </c>
      <c r="F17" s="26"/>
    </row>
    <row r="18" spans="1:6" ht="20.25" x14ac:dyDescent="0.5">
      <c r="A18" s="24">
        <v>72.7</v>
      </c>
      <c r="B18" s="24">
        <v>145.4</v>
      </c>
      <c r="F18" s="26"/>
    </row>
    <row r="19" spans="1:6" ht="20.25" x14ac:dyDescent="0.5">
      <c r="A19" s="24">
        <v>267.45</v>
      </c>
      <c r="B19" s="24">
        <v>802.34999999999991</v>
      </c>
      <c r="F19" s="27"/>
    </row>
    <row r="20" spans="1:6" ht="20.25" x14ac:dyDescent="0.5">
      <c r="A20" s="24">
        <v>488.90000000000003</v>
      </c>
      <c r="B20" s="24">
        <v>3422.3</v>
      </c>
      <c r="F20" s="26"/>
    </row>
    <row r="21" spans="1:6" ht="15.75" customHeight="1" x14ac:dyDescent="0.5">
      <c r="A21" s="24">
        <v>67.900000000000006</v>
      </c>
      <c r="B21" s="24">
        <v>1697.5000000000002</v>
      </c>
      <c r="F21" s="27"/>
    </row>
    <row r="22" spans="1:6" ht="15.75" customHeight="1" x14ac:dyDescent="0.5">
      <c r="A22" s="24">
        <v>26.8</v>
      </c>
      <c r="B22" s="24">
        <v>321.60000000000002</v>
      </c>
      <c r="F22" s="27"/>
    </row>
    <row r="23" spans="1:6" ht="15.75" customHeight="1" x14ac:dyDescent="0.5">
      <c r="F23" s="26"/>
    </row>
    <row r="24" spans="1:6" ht="15.75" customHeight="1" x14ac:dyDescent="0.5">
      <c r="F24" s="25"/>
    </row>
    <row r="25" spans="1:6" ht="15.75" customHeight="1" x14ac:dyDescent="0.5">
      <c r="F25" s="27"/>
    </row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Fernandes</dc:creator>
  <cp:lastModifiedBy>Danilo Borges Fernandes</cp:lastModifiedBy>
  <dcterms:created xsi:type="dcterms:W3CDTF">2023-06-16T14:23:08Z</dcterms:created>
  <dcterms:modified xsi:type="dcterms:W3CDTF">2026-05-08T18:38:56Z</dcterms:modified>
</cp:coreProperties>
</file>